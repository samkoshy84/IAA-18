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 Koshy\Desktop\MSA - Spring\finproject\"/>
    </mc:Choice>
  </mc:AlternateContent>
  <bookViews>
    <workbookView xWindow="0" yWindow="0" windowWidth="23040" windowHeight="9048" activeTab="1" xr2:uid="{1D3BB3EC-8CAE-48BF-A885-05C1FDC9FBE5}"/>
  </bookViews>
  <sheets>
    <sheet name="Sheet1" sheetId="1" r:id="rId1"/>
    <sheet name="Sheet2" sheetId="2" r:id="rId2"/>
  </sheets>
  <definedNames>
    <definedName name="solver_adj" localSheetId="0" hidden="1">Sheet1!$B$43:$B$47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Sheet1!$B$48</definedName>
    <definedName name="solver_lhs2" localSheetId="0" hidden="1">Sheet1!$F$43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Sheet1!$F$44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hs1" localSheetId="0" hidden="1">1</definedName>
    <definedName name="solver_rhs2" localSheetId="0" hidden="1">Sheet1!$AD$11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1" l="1"/>
  <c r="F12" i="1"/>
  <c r="I48" i="1" l="1"/>
  <c r="I40" i="1"/>
  <c r="I32" i="1"/>
  <c r="I24" i="1"/>
  <c r="I16" i="1"/>
  <c r="F44" i="1"/>
  <c r="F43" i="1"/>
  <c r="F35" i="1"/>
  <c r="F27" i="1"/>
  <c r="F19" i="1"/>
  <c r="F20" i="1"/>
  <c r="F36" i="1"/>
  <c r="F28" i="1"/>
  <c r="S47" i="1"/>
  <c r="R47" i="1"/>
  <c r="Q47" i="1"/>
  <c r="P47" i="1"/>
  <c r="O47" i="1"/>
  <c r="S46" i="1"/>
  <c r="R46" i="1"/>
  <c r="Q46" i="1"/>
  <c r="P46" i="1"/>
  <c r="O46" i="1"/>
  <c r="S45" i="1"/>
  <c r="R45" i="1"/>
  <c r="Q45" i="1"/>
  <c r="P45" i="1"/>
  <c r="O45" i="1"/>
  <c r="S44" i="1"/>
  <c r="R44" i="1"/>
  <c r="Q44" i="1"/>
  <c r="P44" i="1"/>
  <c r="O44" i="1"/>
  <c r="S43" i="1"/>
  <c r="R43" i="1"/>
  <c r="Q43" i="1"/>
  <c r="P43" i="1"/>
  <c r="O43" i="1"/>
  <c r="S39" i="1"/>
  <c r="R39" i="1"/>
  <c r="Q39" i="1"/>
  <c r="P39" i="1"/>
  <c r="O39" i="1"/>
  <c r="S38" i="1"/>
  <c r="R38" i="1"/>
  <c r="Q38" i="1"/>
  <c r="P38" i="1"/>
  <c r="O38" i="1"/>
  <c r="S37" i="1"/>
  <c r="R37" i="1"/>
  <c r="Q37" i="1"/>
  <c r="P37" i="1"/>
  <c r="O37" i="1"/>
  <c r="S36" i="1"/>
  <c r="R36" i="1"/>
  <c r="Q36" i="1"/>
  <c r="P36" i="1"/>
  <c r="O36" i="1"/>
  <c r="S35" i="1"/>
  <c r="R35" i="1"/>
  <c r="Q35" i="1"/>
  <c r="P35" i="1"/>
  <c r="O35" i="1"/>
  <c r="S31" i="1"/>
  <c r="R31" i="1"/>
  <c r="Q31" i="1"/>
  <c r="P31" i="1"/>
  <c r="O31" i="1"/>
  <c r="S30" i="1"/>
  <c r="R30" i="1"/>
  <c r="Q30" i="1"/>
  <c r="P30" i="1"/>
  <c r="O30" i="1"/>
  <c r="S29" i="1"/>
  <c r="R29" i="1"/>
  <c r="Q29" i="1"/>
  <c r="P29" i="1"/>
  <c r="O29" i="1"/>
  <c r="S28" i="1"/>
  <c r="R28" i="1"/>
  <c r="Q28" i="1"/>
  <c r="P28" i="1"/>
  <c r="O28" i="1"/>
  <c r="S27" i="1"/>
  <c r="R27" i="1"/>
  <c r="Q27" i="1"/>
  <c r="P27" i="1"/>
  <c r="O27" i="1"/>
  <c r="S23" i="1"/>
  <c r="R23" i="1"/>
  <c r="Q23" i="1"/>
  <c r="P23" i="1"/>
  <c r="O23" i="1"/>
  <c r="S22" i="1"/>
  <c r="R22" i="1"/>
  <c r="Q22" i="1"/>
  <c r="P22" i="1"/>
  <c r="O22" i="1"/>
  <c r="S21" i="1"/>
  <c r="R21" i="1"/>
  <c r="Q21" i="1"/>
  <c r="P21" i="1"/>
  <c r="O21" i="1"/>
  <c r="S20" i="1"/>
  <c r="R20" i="1"/>
  <c r="Q20" i="1"/>
  <c r="P20" i="1"/>
  <c r="O20" i="1"/>
  <c r="S19" i="1"/>
  <c r="R19" i="1"/>
  <c r="Q19" i="1"/>
  <c r="P19" i="1"/>
  <c r="O19" i="1"/>
  <c r="S15" i="1"/>
  <c r="R15" i="1"/>
  <c r="Q15" i="1"/>
  <c r="P15" i="1"/>
  <c r="O15" i="1"/>
  <c r="S14" i="1"/>
  <c r="R14" i="1"/>
  <c r="Q14" i="1"/>
  <c r="P14" i="1"/>
  <c r="O14" i="1"/>
  <c r="S13" i="1"/>
  <c r="R13" i="1"/>
  <c r="Q13" i="1"/>
  <c r="P13" i="1"/>
  <c r="O13" i="1"/>
  <c r="S12" i="1"/>
  <c r="R12" i="1"/>
  <c r="Q12" i="1"/>
  <c r="P12" i="1"/>
  <c r="O12" i="1"/>
  <c r="S11" i="1"/>
  <c r="R11" i="1"/>
  <c r="Q11" i="1"/>
  <c r="P11" i="1"/>
  <c r="O11" i="1"/>
  <c r="B48" i="1"/>
  <c r="B40" i="1"/>
  <c r="B32" i="1"/>
  <c r="B24" i="1"/>
  <c r="B16" i="1"/>
</calcChain>
</file>

<file path=xl/sharedStrings.xml><?xml version="1.0" encoding="utf-8"?>
<sst xmlns="http://schemas.openxmlformats.org/spreadsheetml/2006/main" count="237" uniqueCount="63">
  <si>
    <t>CVX_r</t>
  </si>
  <si>
    <t>XOM_r</t>
  </si>
  <si>
    <t>HD_r</t>
  </si>
  <si>
    <t>JNJ_r</t>
  </si>
  <si>
    <t>PFE_r</t>
  </si>
  <si>
    <t>CVX_sd</t>
  </si>
  <si>
    <t>XOM_sd</t>
  </si>
  <si>
    <t>HD_sd</t>
  </si>
  <si>
    <t>JNJ_sd</t>
  </si>
  <si>
    <t>PFE_sd</t>
  </si>
  <si>
    <t>Day</t>
  </si>
  <si>
    <t>1st</t>
  </si>
  <si>
    <t>2nd</t>
  </si>
  <si>
    <t>3rd</t>
  </si>
  <si>
    <t>4th</t>
  </si>
  <si>
    <t>5th</t>
  </si>
  <si>
    <t>Correlation Matrix</t>
  </si>
  <si>
    <t>Day 1 Covariance Matrix</t>
  </si>
  <si>
    <t>Day 5 Covariance Matrix</t>
  </si>
  <si>
    <t>Day 4 Covariance Matrix</t>
  </si>
  <si>
    <t>Day 3 Covariance Matrix</t>
  </si>
  <si>
    <t>Day 2 Covariance Matrix</t>
  </si>
  <si>
    <t>Decision Variables</t>
  </si>
  <si>
    <t>CVX_p</t>
  </si>
  <si>
    <t>XOM_p</t>
  </si>
  <si>
    <t>HD_p</t>
  </si>
  <si>
    <t>JNJ_p</t>
  </si>
  <si>
    <t>PFE_p</t>
  </si>
  <si>
    <t>Portfolio mean return</t>
  </si>
  <si>
    <t>Day 1 Returns</t>
  </si>
  <si>
    <t>Day 2 Returns</t>
  </si>
  <si>
    <t>Day 3 Returns</t>
  </si>
  <si>
    <t>Day 4 Returns</t>
  </si>
  <si>
    <t>Day 5 Returns</t>
  </si>
  <si>
    <t>Forcasted mean returns for 5 days</t>
  </si>
  <si>
    <t>Total</t>
  </si>
  <si>
    <t>Portfolio varaince</t>
  </si>
  <si>
    <t>Day1</t>
  </si>
  <si>
    <t>Day2</t>
  </si>
  <si>
    <t>Day3</t>
  </si>
  <si>
    <t>Day4</t>
  </si>
  <si>
    <t>Day5</t>
  </si>
  <si>
    <t>Portfolio Return</t>
  </si>
  <si>
    <t>Portfolio Variance</t>
  </si>
  <si>
    <t>Allocation for Portfolio Return of 0.05%</t>
  </si>
  <si>
    <t>Day 1</t>
  </si>
  <si>
    <t>Day 2</t>
  </si>
  <si>
    <t>Day 3</t>
  </si>
  <si>
    <t>Day 4</t>
  </si>
  <si>
    <t>Day 5</t>
  </si>
  <si>
    <t>CVX</t>
  </si>
  <si>
    <t>XOM</t>
  </si>
  <si>
    <t>HD</t>
  </si>
  <si>
    <t>JNJ</t>
  </si>
  <si>
    <t>PFE</t>
  </si>
  <si>
    <t>Allocations for 0.05% daily return</t>
  </si>
  <si>
    <t>Forcasted Volatility of the 5 stocks</t>
  </si>
  <si>
    <t>1st Day</t>
  </si>
  <si>
    <t>2nd Day</t>
  </si>
  <si>
    <t>3rd Day</t>
  </si>
  <si>
    <t>4th Day</t>
  </si>
  <si>
    <t>5th Day</t>
  </si>
  <si>
    <t>Day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</si>
</sst>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000%"/>
    <numFmt numFmtId="166" formatCode="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0" fillId="0" borderId="0" xfId="0" applyFill="1" applyBorder="1"/>
    <xf numFmtId="0" fontId="3" fillId="0" borderId="0" xfId="0" applyFont="1" applyBorder="1" applyAlignment="1"/>
    <xf numFmtId="0" fontId="3" fillId="0" borderId="3" xfId="0" applyFont="1" applyBorder="1" applyAlignment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0" fillId="0" borderId="8" xfId="0" applyBorder="1"/>
    <xf numFmtId="0" fontId="3" fillId="0" borderId="9" xfId="0" applyFont="1" applyBorder="1"/>
    <xf numFmtId="0" fontId="0" fillId="0" borderId="10" xfId="0" applyBorder="1"/>
    <xf numFmtId="0" fontId="0" fillId="0" borderId="11" xfId="0" applyBorder="1"/>
    <xf numFmtId="164" fontId="0" fillId="0" borderId="0" xfId="1" applyNumberFormat="1" applyFont="1"/>
    <xf numFmtId="0" fontId="3" fillId="0" borderId="2" xfId="0" applyFont="1" applyFill="1" applyBorder="1"/>
    <xf numFmtId="0" fontId="3" fillId="0" borderId="0" xfId="0" applyFont="1" applyAlignment="1">
      <alignment horizontal="right"/>
    </xf>
    <xf numFmtId="165" fontId="4" fillId="0" borderId="0" xfId="0" applyNumberFormat="1" applyFont="1"/>
    <xf numFmtId="0" fontId="2" fillId="2" borderId="0" xfId="2"/>
    <xf numFmtId="0" fontId="2" fillId="2" borderId="1" xfId="2" applyBorder="1"/>
    <xf numFmtId="165" fontId="5" fillId="0" borderId="0" xfId="0" applyNumberFormat="1" applyFont="1"/>
    <xf numFmtId="165" fontId="5" fillId="3" borderId="0" xfId="0" applyNumberFormat="1" applyFont="1" applyFill="1"/>
    <xf numFmtId="166" fontId="5" fillId="0" borderId="0" xfId="0" applyNumberFormat="1" applyFont="1"/>
    <xf numFmtId="166" fontId="5" fillId="3" borderId="0" xfId="0" applyNumberFormat="1" applyFont="1" applyFill="1"/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0" fontId="0" fillId="0" borderId="1" xfId="1" applyNumberFormat="1" applyFont="1" applyBorder="1"/>
  </cellXfs>
  <cellStyles count="3">
    <cellStyle name="Good" xfId="2" builtinId="26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Sheet1!$V$1:$V$2</c:f>
              <c:strCache>
                <c:ptCount val="2"/>
                <c:pt idx="0">
                  <c:v>Day1</c:v>
                </c:pt>
                <c:pt idx="1">
                  <c:v>Portfolio Return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Sheet1!$U$3:$U$15</c:f>
              <c:numCache>
                <c:formatCode>0.0000</c:formatCode>
                <c:ptCount val="13"/>
                <c:pt idx="0">
                  <c:v>3.6614583327810956E-4</c:v>
                </c:pt>
                <c:pt idx="1">
                  <c:v>3.3638551180773055E-4</c:v>
                </c:pt>
                <c:pt idx="2">
                  <c:v>3.1955437084817964E-4</c:v>
                </c:pt>
                <c:pt idx="3">
                  <c:v>3.0865738838473702E-4</c:v>
                </c:pt>
                <c:pt idx="4">
                  <c:v>3.0369456456781868E-4</c:v>
                </c:pt>
                <c:pt idx="5">
                  <c:v>3.0335823526125941E-4</c:v>
                </c:pt>
                <c:pt idx="6">
                  <c:v>3.0453101631283035E-4</c:v>
                </c:pt>
                <c:pt idx="7">
                  <c:v>3.1081267110441053E-4</c:v>
                </c:pt>
                <c:pt idx="8">
                  <c:v>3.2252089242171457E-4</c:v>
                </c:pt>
                <c:pt idx="9">
                  <c:v>3.3965567967760344E-4</c:v>
                </c:pt>
                <c:pt idx="10">
                  <c:v>3.6221703230211613E-4</c:v>
                </c:pt>
                <c:pt idx="11">
                  <c:v>3.9470092821975957E-4</c:v>
                </c:pt>
                <c:pt idx="12">
                  <c:v>5.2723151336258472E-4</c:v>
                </c:pt>
              </c:numCache>
            </c:numRef>
          </c:xVal>
          <c:yVal>
            <c:numRef>
              <c:f>Sheet1!$V$3:$V$15</c:f>
              <c:numCache>
                <c:formatCode>0.0000%</c:formatCode>
                <c:ptCount val="13"/>
                <c:pt idx="0">
                  <c:v>2.0000000000000001E-4</c:v>
                </c:pt>
                <c:pt idx="1">
                  <c:v>2.5000000000000001E-4</c:v>
                </c:pt>
                <c:pt idx="2">
                  <c:v>3.0000000000000003E-4</c:v>
                </c:pt>
                <c:pt idx="3">
                  <c:v>3.5000000000000005E-4</c:v>
                </c:pt>
                <c:pt idx="4">
                  <c:v>4.0000000000000007E-4</c:v>
                </c:pt>
                <c:pt idx="5">
                  <c:v>4.1724927441107515E-4</c:v>
                </c:pt>
                <c:pt idx="6">
                  <c:v>4.500000000000001E-4</c:v>
                </c:pt>
                <c:pt idx="7">
                  <c:v>5.0000000000000012E-4</c:v>
                </c:pt>
                <c:pt idx="8">
                  <c:v>5.5000000000000014E-4</c:v>
                </c:pt>
                <c:pt idx="9">
                  <c:v>6.0000000000000016E-4</c:v>
                </c:pt>
                <c:pt idx="10">
                  <c:v>6.5000000000000019E-4</c:v>
                </c:pt>
                <c:pt idx="11">
                  <c:v>7.0000000015383863E-4</c:v>
                </c:pt>
                <c:pt idx="12">
                  <c:v>7.5000000000000023E-4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64-40AF-B577-4F2CACC65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282960"/>
        <c:axId val="641283944"/>
      </c:scatterChart>
      <c:valAx>
        <c:axId val="64128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Return</a:t>
                </a:r>
                <a:r>
                  <a:rPr lang="en-US" baseline="0"/>
                  <a:t> </a:t>
                </a:r>
                <a:r>
                  <a:rPr lang="en-US"/>
                  <a:t>Variance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83944"/>
        <c:crosses val="autoZero"/>
        <c:crossBetween val="midCat"/>
      </c:valAx>
      <c:valAx>
        <c:axId val="64128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8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Sheet1!$X$1:$X$2</c:f>
              <c:strCache>
                <c:ptCount val="2"/>
                <c:pt idx="0">
                  <c:v>Day2</c:v>
                </c:pt>
                <c:pt idx="1">
                  <c:v>Portfolio Return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Sheet1!$W$3:$W$15</c:f>
              <c:numCache>
                <c:formatCode>0.0000</c:formatCode>
                <c:ptCount val="13"/>
                <c:pt idx="0">
                  <c:v>3.6010435275046261E-4</c:v>
                </c:pt>
                <c:pt idx="1">
                  <c:v>3.3041784352076057E-4</c:v>
                </c:pt>
                <c:pt idx="2">
                  <c:v>3.1282108176902446E-4</c:v>
                </c:pt>
                <c:pt idx="3">
                  <c:v>3.0094267347148914E-4</c:v>
                </c:pt>
                <c:pt idx="4">
                  <c:v>2.9478240104989918E-4</c:v>
                </c:pt>
                <c:pt idx="5">
                  <c:v>2.9382961542471191E-4</c:v>
                </c:pt>
                <c:pt idx="6">
                  <c:v>2.9430387326637327E-4</c:v>
                </c:pt>
                <c:pt idx="7">
                  <c:v>2.9915827656534181E-4</c:v>
                </c:pt>
                <c:pt idx="8">
                  <c:v>3.092584574135707E-4</c:v>
                </c:pt>
                <c:pt idx="9">
                  <c:v>3.2460441502455702E-4</c:v>
                </c:pt>
                <c:pt idx="10">
                  <c:v>3.4519615007206359E-4</c:v>
                </c:pt>
                <c:pt idx="11">
                  <c:v>3.7459210822271235E-4</c:v>
                </c:pt>
                <c:pt idx="12">
                  <c:v>5.0355165836348838E-4</c:v>
                </c:pt>
              </c:numCache>
            </c:numRef>
          </c:xVal>
          <c:yVal>
            <c:numRef>
              <c:f>Sheet1!$X$3:$X$15</c:f>
              <c:numCache>
                <c:formatCode>0.0000%</c:formatCode>
                <c:ptCount val="13"/>
                <c:pt idx="0">
                  <c:v>2.0000000000000001E-4</c:v>
                </c:pt>
                <c:pt idx="1">
                  <c:v>2.5000000000000001E-4</c:v>
                </c:pt>
                <c:pt idx="2">
                  <c:v>3.0000000000000003E-4</c:v>
                </c:pt>
                <c:pt idx="3">
                  <c:v>3.5000000000000005E-4</c:v>
                </c:pt>
                <c:pt idx="4">
                  <c:v>4.0000000000000007E-4</c:v>
                </c:pt>
                <c:pt idx="5">
                  <c:v>4.2900321440619415E-4</c:v>
                </c:pt>
                <c:pt idx="6">
                  <c:v>4.500000000000001E-4</c:v>
                </c:pt>
                <c:pt idx="7">
                  <c:v>5.0000000000000012E-4</c:v>
                </c:pt>
                <c:pt idx="8">
                  <c:v>5.5000000000000014E-4</c:v>
                </c:pt>
                <c:pt idx="9">
                  <c:v>6.0000000000000016E-4</c:v>
                </c:pt>
                <c:pt idx="10">
                  <c:v>6.5000000000000019E-4</c:v>
                </c:pt>
                <c:pt idx="11">
                  <c:v>7.0000000000000021E-4</c:v>
                </c:pt>
                <c:pt idx="12">
                  <c:v>7.5000000000000023E-4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3-47A5-95AB-72122FC51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844704"/>
        <c:axId val="641845032"/>
      </c:scatterChart>
      <c:valAx>
        <c:axId val="64184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  <a:r>
                  <a:rPr lang="en-US" baseline="0"/>
                  <a:t> Variance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845032"/>
        <c:crosses val="autoZero"/>
        <c:crossBetween val="midCat"/>
      </c:valAx>
      <c:valAx>
        <c:axId val="64184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844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Sheet1!$Z$1:$Z$2</c:f>
              <c:strCache>
                <c:ptCount val="2"/>
                <c:pt idx="0">
                  <c:v>Day3</c:v>
                </c:pt>
                <c:pt idx="1">
                  <c:v>Portfolio Return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Sheet1!$Y$3:$Y$15</c:f>
              <c:numCache>
                <c:formatCode>0.0000</c:formatCode>
                <c:ptCount val="13"/>
                <c:pt idx="0">
                  <c:v>3.5577010230998854E-4</c:v>
                </c:pt>
                <c:pt idx="1">
                  <c:v>3.2495282811605217E-4</c:v>
                </c:pt>
                <c:pt idx="2">
                  <c:v>3.0628599863274561E-4</c:v>
                </c:pt>
                <c:pt idx="3">
                  <c:v>2.9351033707225864E-4</c:v>
                </c:pt>
                <c:pt idx="4">
                  <c:v>2.8625171903826264E-4</c:v>
                </c:pt>
                <c:pt idx="5">
                  <c:v>2.8441647402391122E-4</c:v>
                </c:pt>
                <c:pt idx="6">
                  <c:v>2.8450942993643846E-4</c:v>
                </c:pt>
                <c:pt idx="7">
                  <c:v>2.880393384464998E-4</c:v>
                </c:pt>
                <c:pt idx="8">
                  <c:v>2.9664537897691978E-4</c:v>
                </c:pt>
                <c:pt idx="9">
                  <c:v>3.1032755142660018E-4</c:v>
                </c:pt>
                <c:pt idx="10">
                  <c:v>3.2908585644775745E-4</c:v>
                </c:pt>
                <c:pt idx="11">
                  <c:v>3.5499359517656321E-4</c:v>
                </c:pt>
                <c:pt idx="12">
                  <c:v>4.8122264645464037E-4</c:v>
                </c:pt>
              </c:numCache>
            </c:numRef>
          </c:xVal>
          <c:yVal>
            <c:numRef>
              <c:f>Sheet1!$Z$3:$Z$15</c:f>
              <c:numCache>
                <c:formatCode>0.0000%</c:formatCode>
                <c:ptCount val="13"/>
                <c:pt idx="0">
                  <c:v>2.0000000000000001E-4</c:v>
                </c:pt>
                <c:pt idx="1">
                  <c:v>2.5000000000000001E-4</c:v>
                </c:pt>
                <c:pt idx="2">
                  <c:v>3.0000000000000003E-4</c:v>
                </c:pt>
                <c:pt idx="3">
                  <c:v>3.5000000000000005E-4</c:v>
                </c:pt>
                <c:pt idx="4">
                  <c:v>4.0000000000000007E-4</c:v>
                </c:pt>
                <c:pt idx="5">
                  <c:v>4.4073370980180979E-4</c:v>
                </c:pt>
                <c:pt idx="6">
                  <c:v>4.500000000000001E-4</c:v>
                </c:pt>
                <c:pt idx="7">
                  <c:v>5.0000000000000012E-4</c:v>
                </c:pt>
                <c:pt idx="8">
                  <c:v>5.5000000000000014E-4</c:v>
                </c:pt>
                <c:pt idx="9">
                  <c:v>6.0000000000000016E-4</c:v>
                </c:pt>
                <c:pt idx="10">
                  <c:v>6.5000000000000019E-4</c:v>
                </c:pt>
                <c:pt idx="11">
                  <c:v>7.0000000000000021E-4</c:v>
                </c:pt>
                <c:pt idx="12">
                  <c:v>7.5000000000000023E-4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73-4924-A10F-83874CE65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65072"/>
        <c:axId val="643765728"/>
      </c:scatterChart>
      <c:valAx>
        <c:axId val="6437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Variance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65728"/>
        <c:crosses val="autoZero"/>
        <c:crossBetween val="midCat"/>
      </c:valAx>
      <c:valAx>
        <c:axId val="64376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65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Sheet1!$AB$1:$AB$2</c:f>
              <c:strCache>
                <c:ptCount val="2"/>
                <c:pt idx="0">
                  <c:v>Day4</c:v>
                </c:pt>
                <c:pt idx="1">
                  <c:v>Portfolio Return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Sheet1!$AA$3:$AA$15</c:f>
              <c:numCache>
                <c:formatCode>0.0000</c:formatCode>
                <c:ptCount val="13"/>
                <c:pt idx="0">
                  <c:v>3.5155468447651796E-4</c:v>
                </c:pt>
                <c:pt idx="1">
                  <c:v>3.1891617845857141E-4</c:v>
                </c:pt>
                <c:pt idx="2">
                  <c:v>2.9994573625641448E-4</c:v>
                </c:pt>
                <c:pt idx="3">
                  <c:v>2.8635210407426665E-4</c:v>
                </c:pt>
                <c:pt idx="4">
                  <c:v>2.7808824541587676E-4</c:v>
                </c:pt>
                <c:pt idx="5">
                  <c:v>2.7515415987915896E-4</c:v>
                </c:pt>
                <c:pt idx="6">
                  <c:v>2.7514752596357673E-4</c:v>
                </c:pt>
                <c:pt idx="7">
                  <c:v>2.7744171211900267E-4</c:v>
                </c:pt>
                <c:pt idx="8">
                  <c:v>2.8466197403620658E-4</c:v>
                </c:pt>
                <c:pt idx="9">
                  <c:v>2.9679919570171399E-4</c:v>
                </c:pt>
                <c:pt idx="10">
                  <c:v>3.1385338034119534E-4</c:v>
                </c:pt>
                <c:pt idx="11">
                  <c:v>3.3799117439124694E-4</c:v>
                </c:pt>
                <c:pt idx="12">
                  <c:v>4.6016608653870055E-4</c:v>
                </c:pt>
              </c:numCache>
            </c:numRef>
          </c:xVal>
          <c:yVal>
            <c:numRef>
              <c:f>Sheet1!$AB$3:$AB$15</c:f>
              <c:numCache>
                <c:formatCode>0.0000%</c:formatCode>
                <c:ptCount val="13"/>
                <c:pt idx="0">
                  <c:v>2.0000000000000001E-4</c:v>
                </c:pt>
                <c:pt idx="1">
                  <c:v>2.5000000000000001E-4</c:v>
                </c:pt>
                <c:pt idx="2">
                  <c:v>3.0000000000000003E-4</c:v>
                </c:pt>
                <c:pt idx="3">
                  <c:v>3.5000000000000005E-4</c:v>
                </c:pt>
                <c:pt idx="4">
                  <c:v>4.0000000000000007E-4</c:v>
                </c:pt>
                <c:pt idx="5">
                  <c:v>4.500000000000001E-4</c:v>
                </c:pt>
                <c:pt idx="6">
                  <c:v>4.5246161506853086E-4</c:v>
                </c:pt>
                <c:pt idx="7">
                  <c:v>5.0000000000000012E-4</c:v>
                </c:pt>
                <c:pt idx="8">
                  <c:v>5.5000000000000014E-4</c:v>
                </c:pt>
                <c:pt idx="9">
                  <c:v>6.0000000000000016E-4</c:v>
                </c:pt>
                <c:pt idx="10">
                  <c:v>6.5000000000000019E-4</c:v>
                </c:pt>
                <c:pt idx="11">
                  <c:v>7.0000000000000021E-4</c:v>
                </c:pt>
                <c:pt idx="12">
                  <c:v>7.5000000000000023E-4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BA-4263-B4E4-F13E2B90E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72128"/>
        <c:axId val="640759256"/>
      </c:scatterChart>
      <c:valAx>
        <c:axId val="64197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Variance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9256"/>
        <c:crosses val="autoZero"/>
        <c:crossBetween val="midCat"/>
      </c:valAx>
      <c:valAx>
        <c:axId val="64075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7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Sheet1!$AD$1:$AD$2</c:f>
              <c:strCache>
                <c:ptCount val="2"/>
                <c:pt idx="0">
                  <c:v>Day5</c:v>
                </c:pt>
                <c:pt idx="1">
                  <c:v>Portfolio Return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Sheet1!$AC$3:$AC$15</c:f>
              <c:numCache>
                <c:formatCode>0.0000</c:formatCode>
                <c:ptCount val="13"/>
                <c:pt idx="0">
                  <c:v>3.6456151895011412E-4</c:v>
                </c:pt>
                <c:pt idx="1">
                  <c:v>3.3638551250826144E-4</c:v>
                </c:pt>
                <c:pt idx="2">
                  <c:v>3.1955437050769039E-4</c:v>
                </c:pt>
                <c:pt idx="3">
                  <c:v>3.086573881899775E-4</c:v>
                </c:pt>
                <c:pt idx="4">
                  <c:v>3.0369456456762613E-4</c:v>
                </c:pt>
                <c:pt idx="5">
                  <c:v>3.033578789104122E-4</c:v>
                </c:pt>
                <c:pt idx="6">
                  <c:v>3.0453101633934332E-4</c:v>
                </c:pt>
                <c:pt idx="7">
                  <c:v>3.108126715926548E-4</c:v>
                </c:pt>
                <c:pt idx="8">
                  <c:v>3.225208915526284E-4</c:v>
                </c:pt>
                <c:pt idx="9">
                  <c:v>3.3965567839845288E-4</c:v>
                </c:pt>
                <c:pt idx="10">
                  <c:v>3.6221703180060047E-4</c:v>
                </c:pt>
                <c:pt idx="11">
                  <c:v>3.9470093060378517E-4</c:v>
                </c:pt>
                <c:pt idx="12">
                  <c:v>5.2723154942724618E-4</c:v>
                </c:pt>
              </c:numCache>
            </c:numRef>
          </c:xVal>
          <c:yVal>
            <c:numRef>
              <c:f>Sheet1!$AD$3:$AD$15</c:f>
              <c:numCache>
                <c:formatCode>0.0000%</c:formatCode>
                <c:ptCount val="13"/>
                <c:pt idx="0">
                  <c:v>2.0000000000000001E-4</c:v>
                </c:pt>
                <c:pt idx="1">
                  <c:v>2.5000000000000001E-4</c:v>
                </c:pt>
                <c:pt idx="2">
                  <c:v>3.0000000000000003E-4</c:v>
                </c:pt>
                <c:pt idx="3">
                  <c:v>3.5000000000000005E-4</c:v>
                </c:pt>
                <c:pt idx="4">
                  <c:v>4.0000000000000007E-4</c:v>
                </c:pt>
                <c:pt idx="5">
                  <c:v>4.1695426661166193E-4</c:v>
                </c:pt>
                <c:pt idx="6">
                  <c:v>4.500000000000001E-4</c:v>
                </c:pt>
                <c:pt idx="7">
                  <c:v>5.0000000000000012E-4</c:v>
                </c:pt>
                <c:pt idx="8">
                  <c:v>5.5000000000000014E-4</c:v>
                </c:pt>
                <c:pt idx="9">
                  <c:v>6.0000000000000016E-4</c:v>
                </c:pt>
                <c:pt idx="10">
                  <c:v>6.5000000000000019E-4</c:v>
                </c:pt>
                <c:pt idx="11">
                  <c:v>7.0000000000000021E-4</c:v>
                </c:pt>
                <c:pt idx="12">
                  <c:v>7.5000000000000023E-4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23-40C5-9B32-5340B3D6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713864"/>
        <c:axId val="641846672"/>
      </c:scatterChart>
      <c:valAx>
        <c:axId val="643713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Variance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846672"/>
        <c:crosses val="autoZero"/>
        <c:crossBetween val="midCat"/>
      </c:valAx>
      <c:valAx>
        <c:axId val="64184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Mean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13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533400</xdr:colOff>
      <xdr:row>16</xdr:row>
      <xdr:rowOff>61913</xdr:rowOff>
    </xdr:from>
    <xdr:to>
      <xdr:col>30</xdr:col>
      <xdr:colOff>114300</xdr:colOff>
      <xdr:row>31</xdr:row>
      <xdr:rowOff>90488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B326EF-9FFD-476D-94B1-E0B996D0CE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571500</xdr:colOff>
      <xdr:row>32</xdr:row>
      <xdr:rowOff>138113</xdr:rowOff>
    </xdr:from>
    <xdr:to>
      <xdr:col>30</xdr:col>
      <xdr:colOff>152400</xdr:colOff>
      <xdr:row>47</xdr:row>
      <xdr:rowOff>166688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D2CA99-B866-46B3-90E2-6DE0D8EAB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600075</xdr:colOff>
      <xdr:row>48</xdr:row>
      <xdr:rowOff>128588</xdr:rowOff>
    </xdr:from>
    <xdr:to>
      <xdr:col>30</xdr:col>
      <xdr:colOff>180975</xdr:colOff>
      <xdr:row>63</xdr:row>
      <xdr:rowOff>157163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E8CC47-16BE-4116-B4B7-47D2679922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48</xdr:row>
      <xdr:rowOff>90488</xdr:rowOff>
    </xdr:from>
    <xdr:to>
      <xdr:col>19</xdr:col>
      <xdr:colOff>333375</xdr:colOff>
      <xdr:row>63</xdr:row>
      <xdr:rowOff>119063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27C41EA-9C3B-414B-B4E8-1802F8CA4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200025</xdr:colOff>
      <xdr:row>48</xdr:row>
      <xdr:rowOff>138113</xdr:rowOff>
    </xdr:from>
    <xdr:to>
      <xdr:col>11</xdr:col>
      <xdr:colOff>504825</xdr:colOff>
      <xdr:row>63</xdr:row>
      <xdr:rowOff>166688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E156782-2149-4EC4-9107-C161F287A5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11195-7B37-45F7-916F-B1D42DA91BD8}">
  <sheetPr codeName="Sheet1"/>
  <dimension ref="A1:AD48"/>
  <sheetViews>
    <sheetView zoomScale="70" zoomScaleNormal="70" workbookViewId="0">
      <selection activeCell="G2" sqref="G2:L7"/>
    </sheetView>
  </sheetViews>
  <sheetFormatPr defaultRowHeight="14.4" x14ac:dyDescent="0.3"/>
  <cols>
    <col min="1" max="1" width="7.21875" customWidth="1"/>
    <col min="3" max="3" width="9.88671875" customWidth="1"/>
    <col min="15" max="15" width="12" bestFit="1" customWidth="1"/>
    <col min="21" max="30" width="6.33203125" customWidth="1"/>
    <col min="31" max="33" width="9.33203125" customWidth="1"/>
  </cols>
  <sheetData>
    <row r="1" spans="1:30" ht="15" thickBot="1" x14ac:dyDescent="0.35">
      <c r="A1" s="29" t="s">
        <v>34</v>
      </c>
      <c r="B1" s="30"/>
      <c r="C1" s="30"/>
      <c r="D1" s="30"/>
      <c r="E1" s="30"/>
      <c r="F1" s="31"/>
      <c r="G1" s="6"/>
      <c r="H1" s="6"/>
      <c r="I1" s="6"/>
      <c r="J1" s="6"/>
      <c r="K1" s="6"/>
      <c r="N1" s="25" t="s">
        <v>16</v>
      </c>
      <c r="O1" s="25"/>
      <c r="P1" s="25"/>
      <c r="Q1" s="25"/>
      <c r="R1" s="25"/>
      <c r="S1" s="25"/>
      <c r="U1" s="26" t="s">
        <v>37</v>
      </c>
      <c r="V1" s="26"/>
      <c r="W1" s="26" t="s">
        <v>38</v>
      </c>
      <c r="X1" s="26"/>
      <c r="Y1" s="26" t="s">
        <v>39</v>
      </c>
      <c r="Z1" s="26"/>
      <c r="AA1" s="26" t="s">
        <v>40</v>
      </c>
      <c r="AB1" s="26"/>
      <c r="AC1" s="26" t="s">
        <v>41</v>
      </c>
      <c r="AD1" s="26"/>
    </row>
    <row r="2" spans="1:30" x14ac:dyDescent="0.3">
      <c r="A2" s="7" t="s">
        <v>10</v>
      </c>
      <c r="B2" s="8" t="s">
        <v>11</v>
      </c>
      <c r="C2" s="8" t="s">
        <v>12</v>
      </c>
      <c r="D2" s="8" t="s">
        <v>13</v>
      </c>
      <c r="E2" s="8" t="s">
        <v>14</v>
      </c>
      <c r="F2" s="9" t="s">
        <v>15</v>
      </c>
      <c r="G2" s="7" t="s">
        <v>10</v>
      </c>
      <c r="H2" s="8" t="s">
        <v>5</v>
      </c>
      <c r="I2" s="8" t="s">
        <v>6</v>
      </c>
      <c r="J2" s="8" t="s">
        <v>7</v>
      </c>
      <c r="K2" s="8" t="s">
        <v>8</v>
      </c>
      <c r="L2" s="9" t="s">
        <v>9</v>
      </c>
      <c r="N2" s="2"/>
      <c r="O2" s="2" t="s">
        <v>5</v>
      </c>
      <c r="P2" s="2" t="s">
        <v>6</v>
      </c>
      <c r="Q2" s="2" t="s">
        <v>7</v>
      </c>
      <c r="R2" s="2" t="s">
        <v>8</v>
      </c>
      <c r="S2" s="2" t="s">
        <v>9</v>
      </c>
      <c r="U2" s="5" t="s">
        <v>43</v>
      </c>
      <c r="V2" s="5" t="s">
        <v>42</v>
      </c>
      <c r="W2" s="5" t="s">
        <v>43</v>
      </c>
      <c r="X2" s="5" t="s">
        <v>42</v>
      </c>
      <c r="Y2" s="5" t="s">
        <v>43</v>
      </c>
      <c r="Z2" s="5" t="s">
        <v>42</v>
      </c>
      <c r="AA2" s="5" t="s">
        <v>43</v>
      </c>
      <c r="AB2" s="5" t="s">
        <v>42</v>
      </c>
      <c r="AC2" s="5" t="s">
        <v>43</v>
      </c>
      <c r="AD2" s="5" t="s">
        <v>42</v>
      </c>
    </row>
    <row r="3" spans="1:30" x14ac:dyDescent="0.3">
      <c r="A3" s="10" t="s">
        <v>0</v>
      </c>
      <c r="B3" s="3">
        <v>3.6269589998984698E-4</v>
      </c>
      <c r="C3" s="3">
        <v>3.6269589998984698E-4</v>
      </c>
      <c r="D3" s="3">
        <v>3.6269589998984698E-4</v>
      </c>
      <c r="E3" s="3">
        <v>3.6269589998984698E-4</v>
      </c>
      <c r="F3" s="11">
        <v>3.6269589998984698E-4</v>
      </c>
      <c r="G3" s="10" t="s">
        <v>11</v>
      </c>
      <c r="H3" s="3">
        <v>2.5441270638536399E-2</v>
      </c>
      <c r="I3" s="3">
        <v>2.1360553966488699E-2</v>
      </c>
      <c r="J3" s="3">
        <v>2.8110283585859298E-2</v>
      </c>
      <c r="K3" s="3">
        <v>2.19609706324203E-2</v>
      </c>
      <c r="L3" s="11">
        <v>2.44897575855768E-2</v>
      </c>
      <c r="N3" s="2" t="s">
        <v>5</v>
      </c>
      <c r="O3" s="3">
        <v>1</v>
      </c>
      <c r="P3" s="3">
        <v>0.78881989778056705</v>
      </c>
      <c r="Q3" s="3">
        <v>0.34163057777693301</v>
      </c>
      <c r="R3" s="3">
        <v>0.37851807959315098</v>
      </c>
      <c r="S3" s="3">
        <v>0.32679395282934198</v>
      </c>
      <c r="U3" s="23">
        <v>3.6614583327810956E-4</v>
      </c>
      <c r="V3" s="21">
        <v>2.0000000000000001E-4</v>
      </c>
      <c r="W3" s="23">
        <v>3.6010435275046261E-4</v>
      </c>
      <c r="X3" s="21">
        <v>2.0000000000000001E-4</v>
      </c>
      <c r="Y3" s="23">
        <v>3.5577010230998854E-4</v>
      </c>
      <c r="Z3" s="21">
        <v>2.0000000000000001E-4</v>
      </c>
      <c r="AA3" s="23">
        <v>3.5155468447651796E-4</v>
      </c>
      <c r="AB3" s="21">
        <v>2.0000000000000001E-4</v>
      </c>
      <c r="AC3" s="23">
        <v>3.6456151895011412E-4</v>
      </c>
      <c r="AD3" s="21">
        <v>2.0000000000000001E-4</v>
      </c>
    </row>
    <row r="4" spans="1:30" x14ac:dyDescent="0.3">
      <c r="A4" s="10" t="s">
        <v>1</v>
      </c>
      <c r="B4" s="3">
        <v>1.6850483018749E-4</v>
      </c>
      <c r="C4" s="3">
        <v>1.6850483018749E-4</v>
      </c>
      <c r="D4" s="3">
        <v>1.6850483018749E-4</v>
      </c>
      <c r="E4" s="3">
        <v>1.6850483018749E-4</v>
      </c>
      <c r="F4" s="11">
        <v>1.6850483018749E-4</v>
      </c>
      <c r="G4" s="10" t="s">
        <v>12</v>
      </c>
      <c r="H4" s="3">
        <v>2.5364360419970498E-2</v>
      </c>
      <c r="I4" s="3">
        <v>2.1283825629955701E-2</v>
      </c>
      <c r="J4" s="3">
        <v>2.7521292164532699E-2</v>
      </c>
      <c r="K4" s="3">
        <v>2.1303590967480499E-2</v>
      </c>
      <c r="L4" s="11">
        <v>2.4102080810637999E-2</v>
      </c>
      <c r="N4" s="2" t="s">
        <v>6</v>
      </c>
      <c r="O4" s="3">
        <v>0.78881989778056705</v>
      </c>
      <c r="P4" s="3">
        <v>1</v>
      </c>
      <c r="Q4" s="3">
        <v>0.33318278308537302</v>
      </c>
      <c r="R4" s="3">
        <v>0.42878737689173502</v>
      </c>
      <c r="S4" s="3">
        <v>0.365083735265677</v>
      </c>
      <c r="U4" s="23">
        <v>3.3638551180773055E-4</v>
      </c>
      <c r="V4" s="21">
        <v>2.5000000000000001E-4</v>
      </c>
      <c r="W4" s="23">
        <v>3.3041784352076057E-4</v>
      </c>
      <c r="X4" s="21">
        <v>2.5000000000000001E-4</v>
      </c>
      <c r="Y4" s="23">
        <v>3.2495282811605217E-4</v>
      </c>
      <c r="Z4" s="21">
        <v>2.5000000000000001E-4</v>
      </c>
      <c r="AA4" s="23">
        <v>3.1891617845857141E-4</v>
      </c>
      <c r="AB4" s="21">
        <v>2.5000000000000001E-4</v>
      </c>
      <c r="AC4" s="23">
        <v>3.3638551250826144E-4</v>
      </c>
      <c r="AD4" s="21">
        <v>2.5000000000000001E-4</v>
      </c>
    </row>
    <row r="5" spans="1:30" x14ac:dyDescent="0.3">
      <c r="A5" s="10" t="s">
        <v>2</v>
      </c>
      <c r="B5" s="3">
        <v>7.7636655119796196E-4</v>
      </c>
      <c r="C5" s="3">
        <v>7.7636655119796196E-4</v>
      </c>
      <c r="D5" s="3">
        <v>7.7636655119796196E-4</v>
      </c>
      <c r="E5" s="3">
        <v>7.7636655119796196E-4</v>
      </c>
      <c r="F5" s="11">
        <v>7.7636655119796196E-4</v>
      </c>
      <c r="G5" s="10" t="s">
        <v>13</v>
      </c>
      <c r="H5" s="3">
        <v>2.5288053305999699E-2</v>
      </c>
      <c r="I5" s="3">
        <v>2.1207749592822199E-2</v>
      </c>
      <c r="J5" s="3">
        <v>2.6950845623707899E-2</v>
      </c>
      <c r="K5" s="3">
        <v>2.0676074255882401E-2</v>
      </c>
      <c r="L5" s="11">
        <v>2.3726091349845099E-2</v>
      </c>
      <c r="N5" s="2" t="s">
        <v>7</v>
      </c>
      <c r="O5" s="3">
        <v>0.34163057777693301</v>
      </c>
      <c r="P5" s="3">
        <v>0.33318278308537302</v>
      </c>
      <c r="Q5" s="3">
        <v>1</v>
      </c>
      <c r="R5" s="3">
        <v>0.41212999490007501</v>
      </c>
      <c r="S5" s="3">
        <v>0.407307240737112</v>
      </c>
      <c r="U5" s="23">
        <v>3.1955437084817964E-4</v>
      </c>
      <c r="V5" s="21">
        <v>3.0000000000000003E-4</v>
      </c>
      <c r="W5" s="23">
        <v>3.1282108176902446E-4</v>
      </c>
      <c r="X5" s="21">
        <v>3.0000000000000003E-4</v>
      </c>
      <c r="Y5" s="23">
        <v>3.0628599863274561E-4</v>
      </c>
      <c r="Z5" s="21">
        <v>3.0000000000000003E-4</v>
      </c>
      <c r="AA5" s="23">
        <v>2.9994573625641448E-4</v>
      </c>
      <c r="AB5" s="21">
        <v>3.0000000000000003E-4</v>
      </c>
      <c r="AC5" s="23">
        <v>3.1955437050769039E-4</v>
      </c>
      <c r="AD5" s="21">
        <v>3.0000000000000003E-4</v>
      </c>
    </row>
    <row r="6" spans="1:30" x14ac:dyDescent="0.3">
      <c r="A6" s="10" t="s">
        <v>3</v>
      </c>
      <c r="B6" s="3">
        <v>6.9319853257193004E-4</v>
      </c>
      <c r="C6" s="3">
        <v>6.9319853257193004E-4</v>
      </c>
      <c r="D6" s="3">
        <v>6.9319853257193004E-4</v>
      </c>
      <c r="E6" s="3">
        <v>6.9319853257193004E-4</v>
      </c>
      <c r="F6" s="11">
        <v>6.9319853257193004E-4</v>
      </c>
      <c r="G6" s="10" t="s">
        <v>14</v>
      </c>
      <c r="H6" s="3">
        <v>2.5212345677448601E-2</v>
      </c>
      <c r="I6" s="3">
        <v>2.1132321650852399E-2</v>
      </c>
      <c r="J6" s="3">
        <v>2.6398489209455901E-2</v>
      </c>
      <c r="K6" s="3">
        <v>2.0077365387296299E-2</v>
      </c>
      <c r="L6" s="11">
        <v>2.33615228762389E-2</v>
      </c>
      <c r="N6" s="2" t="s">
        <v>8</v>
      </c>
      <c r="O6" s="3">
        <v>0.37851807959315098</v>
      </c>
      <c r="P6" s="3">
        <v>0.42878737689173502</v>
      </c>
      <c r="Q6" s="3">
        <v>0.41212999490007501</v>
      </c>
      <c r="R6" s="3">
        <v>1</v>
      </c>
      <c r="S6" s="3">
        <v>0.530313074222999</v>
      </c>
      <c r="U6" s="23">
        <v>3.0865738838473702E-4</v>
      </c>
      <c r="V6" s="21">
        <v>3.5000000000000005E-4</v>
      </c>
      <c r="W6" s="23">
        <v>3.0094267347148914E-4</v>
      </c>
      <c r="X6" s="21">
        <v>3.5000000000000005E-4</v>
      </c>
      <c r="Y6" s="23">
        <v>2.9351033707225864E-4</v>
      </c>
      <c r="Z6" s="21">
        <v>3.5000000000000005E-4</v>
      </c>
      <c r="AA6" s="23">
        <v>2.8635210407426665E-4</v>
      </c>
      <c r="AB6" s="21">
        <v>3.5000000000000005E-4</v>
      </c>
      <c r="AC6" s="23">
        <v>3.086573881899775E-4</v>
      </c>
      <c r="AD6" s="21">
        <v>3.5000000000000005E-4</v>
      </c>
    </row>
    <row r="7" spans="1:30" ht="15" thickBot="1" x14ac:dyDescent="0.35">
      <c r="A7" s="12" t="s">
        <v>4</v>
      </c>
      <c r="B7" s="13">
        <v>2.9528629033585097E-4</v>
      </c>
      <c r="C7" s="13">
        <v>2.9528629033585097E-4</v>
      </c>
      <c r="D7" s="13">
        <v>2.9528629033585097E-4</v>
      </c>
      <c r="E7" s="13">
        <v>2.9528629033585097E-4</v>
      </c>
      <c r="F7" s="14">
        <v>2.9528629033585097E-4</v>
      </c>
      <c r="G7" s="12" t="s">
        <v>15</v>
      </c>
      <c r="H7" s="13">
        <v>2.5137233927307798E-2</v>
      </c>
      <c r="I7" s="13">
        <v>2.1057537615552499E-2</v>
      </c>
      <c r="J7" s="13">
        <v>2.5863778104671699E-2</v>
      </c>
      <c r="K7" s="13">
        <v>1.9506441657970299E-2</v>
      </c>
      <c r="L7" s="14">
        <v>2.3008113188264401E-2</v>
      </c>
      <c r="N7" s="2" t="s">
        <v>9</v>
      </c>
      <c r="O7" s="3">
        <v>0.32679395282934198</v>
      </c>
      <c r="P7" s="3">
        <v>0.365083735265677</v>
      </c>
      <c r="Q7" s="3">
        <v>0.407307240737112</v>
      </c>
      <c r="R7" s="3">
        <v>0.530313074222999</v>
      </c>
      <c r="S7" s="3">
        <v>1</v>
      </c>
      <c r="U7" s="23">
        <v>3.0369456456781868E-4</v>
      </c>
      <c r="V7" s="21">
        <v>4.0000000000000007E-4</v>
      </c>
      <c r="W7" s="23">
        <v>2.9478240104989918E-4</v>
      </c>
      <c r="X7" s="21">
        <v>4.0000000000000007E-4</v>
      </c>
      <c r="Y7" s="23">
        <v>2.8625171903826264E-4</v>
      </c>
      <c r="Z7" s="21">
        <v>4.0000000000000007E-4</v>
      </c>
      <c r="AA7" s="23">
        <v>2.7808824541587676E-4</v>
      </c>
      <c r="AB7" s="21">
        <v>4.0000000000000007E-4</v>
      </c>
      <c r="AC7" s="23">
        <v>3.0369456456762613E-4</v>
      </c>
      <c r="AD7" s="21">
        <v>4.0000000000000007E-4</v>
      </c>
    </row>
    <row r="8" spans="1:30" x14ac:dyDescent="0.3">
      <c r="U8" s="24">
        <v>3.0335823526125941E-4</v>
      </c>
      <c r="V8" s="22">
        <v>4.1724927441107515E-4</v>
      </c>
      <c r="W8" s="24">
        <v>2.9382961542471191E-4</v>
      </c>
      <c r="X8" s="22">
        <v>4.2900321440619415E-4</v>
      </c>
      <c r="Y8" s="24">
        <v>2.8441647402391122E-4</v>
      </c>
      <c r="Z8" s="22">
        <v>4.4073370980180979E-4</v>
      </c>
      <c r="AA8" s="23">
        <v>2.7515415987915896E-4</v>
      </c>
      <c r="AB8" s="21">
        <v>4.500000000000001E-4</v>
      </c>
      <c r="AC8" s="24">
        <v>3.033578789104122E-4</v>
      </c>
      <c r="AD8" s="22">
        <v>4.1695426661166193E-4</v>
      </c>
    </row>
    <row r="9" spans="1:30" x14ac:dyDescent="0.3">
      <c r="A9" s="28" t="s">
        <v>29</v>
      </c>
      <c r="B9" s="28"/>
      <c r="C9" s="28"/>
      <c r="D9" s="28"/>
      <c r="E9" s="28"/>
      <c r="F9" s="28"/>
      <c r="G9" s="28"/>
      <c r="H9" s="28"/>
      <c r="I9" s="28"/>
      <c r="J9" s="28"/>
      <c r="K9" s="28"/>
      <c r="N9" s="25" t="s">
        <v>17</v>
      </c>
      <c r="O9" s="25"/>
      <c r="P9" s="25"/>
      <c r="Q9" s="25"/>
      <c r="R9" s="25"/>
      <c r="S9" s="25"/>
      <c r="U9" s="23">
        <v>3.0453101631283035E-4</v>
      </c>
      <c r="V9" s="21">
        <v>4.500000000000001E-4</v>
      </c>
      <c r="W9" s="23">
        <v>2.9430387326637327E-4</v>
      </c>
      <c r="X9" s="21">
        <v>4.500000000000001E-4</v>
      </c>
      <c r="Y9" s="23">
        <v>2.8450942993643846E-4</v>
      </c>
      <c r="Z9" s="21">
        <v>4.500000000000001E-4</v>
      </c>
      <c r="AA9" s="24">
        <v>2.7514752596357673E-4</v>
      </c>
      <c r="AB9" s="22">
        <v>4.5246161506853086E-4</v>
      </c>
      <c r="AC9" s="23">
        <v>3.0453101633934332E-4</v>
      </c>
      <c r="AD9" s="21">
        <v>4.500000000000001E-4</v>
      </c>
    </row>
    <row r="10" spans="1:30" x14ac:dyDescent="0.3">
      <c r="A10" s="27" t="s">
        <v>22</v>
      </c>
      <c r="B10" s="27"/>
      <c r="C10" s="1"/>
      <c r="D10" s="1"/>
      <c r="E10" s="1"/>
      <c r="F10" s="1"/>
      <c r="G10" s="1"/>
      <c r="H10" s="19" t="s">
        <v>44</v>
      </c>
      <c r="I10" s="19"/>
      <c r="J10" s="1"/>
      <c r="K10" s="1"/>
      <c r="N10" s="2"/>
      <c r="O10" s="2" t="s">
        <v>5</v>
      </c>
      <c r="P10" s="2" t="s">
        <v>6</v>
      </c>
      <c r="Q10" s="2" t="s">
        <v>7</v>
      </c>
      <c r="R10" s="2" t="s">
        <v>8</v>
      </c>
      <c r="S10" s="2" t="s">
        <v>9</v>
      </c>
      <c r="U10" s="23">
        <v>3.1081267110441053E-4</v>
      </c>
      <c r="V10" s="21">
        <v>5.0000000000000012E-4</v>
      </c>
      <c r="W10" s="23">
        <v>2.9915827656534181E-4</v>
      </c>
      <c r="X10" s="21">
        <v>5.0000000000000012E-4</v>
      </c>
      <c r="Y10" s="23">
        <v>2.880393384464998E-4</v>
      </c>
      <c r="Z10" s="21">
        <v>5.0000000000000012E-4</v>
      </c>
      <c r="AA10" s="23">
        <v>2.7744171211900267E-4</v>
      </c>
      <c r="AB10" s="21">
        <v>5.0000000000000012E-4</v>
      </c>
      <c r="AC10" s="23">
        <v>3.108126715926548E-4</v>
      </c>
      <c r="AD10" s="21">
        <v>5.0000000000000012E-4</v>
      </c>
    </row>
    <row r="11" spans="1:30" x14ac:dyDescent="0.3">
      <c r="A11" s="2" t="s">
        <v>23</v>
      </c>
      <c r="B11">
        <v>1.0771929538151643E-3</v>
      </c>
      <c r="E11" s="17" t="s">
        <v>28</v>
      </c>
      <c r="F11" s="15">
        <f>SUMPRODUCT(B11:B15,B3:B7)</f>
        <v>4.1724927441107515E-4</v>
      </c>
      <c r="H11" s="20" t="s">
        <v>23</v>
      </c>
      <c r="I11" s="20">
        <v>5.3800704665467214E-2</v>
      </c>
      <c r="N11" s="2" t="s">
        <v>5</v>
      </c>
      <c r="O11" s="3">
        <f t="shared" ref="O11:S15" si="0">INDEX($H$3:$L$7,1,MATCH(O$10,$H$2:$L$2,0))*INDEX($H$3:$L$7,1,MATCH($N11,$H$2:$L$2,0))*INDEX($O$3:$S$7,MATCH($N11,$N$3:$N$7,0),MATCH(O$10,$O$2:$S$2,0))</f>
        <v>6.4725825170325432E-4</v>
      </c>
      <c r="P11" s="3">
        <f t="shared" si="0"/>
        <v>4.286759968971531E-4</v>
      </c>
      <c r="Q11" s="3">
        <f t="shared" si="0"/>
        <v>2.4432097920309872E-4</v>
      </c>
      <c r="R11" s="3">
        <f t="shared" si="0"/>
        <v>2.1148372783467761E-4</v>
      </c>
      <c r="S11" s="3">
        <f t="shared" si="0"/>
        <v>2.0360915224529712E-4</v>
      </c>
      <c r="U11" s="23">
        <v>3.2252089242171457E-4</v>
      </c>
      <c r="V11" s="21">
        <v>5.5000000000000014E-4</v>
      </c>
      <c r="W11" s="23">
        <v>3.092584574135707E-4</v>
      </c>
      <c r="X11" s="21">
        <v>5.5000000000000014E-4</v>
      </c>
      <c r="Y11" s="23">
        <v>2.9664537897691978E-4</v>
      </c>
      <c r="Z11" s="21">
        <v>5.5000000000000014E-4</v>
      </c>
      <c r="AA11" s="23">
        <v>2.8466197403620658E-4</v>
      </c>
      <c r="AB11" s="21">
        <v>5.5000000000000014E-4</v>
      </c>
      <c r="AC11" s="23">
        <v>3.225208915526284E-4</v>
      </c>
      <c r="AD11" s="21">
        <v>5.5000000000000014E-4</v>
      </c>
    </row>
    <row r="12" spans="1:30" x14ac:dyDescent="0.3">
      <c r="A12" s="2" t="s">
        <v>24</v>
      </c>
      <c r="B12">
        <v>0.40732675398263457</v>
      </c>
      <c r="C12" s="15"/>
      <c r="D12" s="15"/>
      <c r="E12" s="17" t="s">
        <v>36</v>
      </c>
      <c r="F12">
        <f>SUMPRODUCT(B11:B15,O11:O15)*B11+SUMPRODUCT(B11:B15,P11:P15)*B12+SUMPRODUCT(B11:B15,Q11:Q15)*B13+SUMPRODUCT(B11:B15,R11:R15)*B14+SUMPRODUCT(B11:B15,S11:S15)*B15</f>
        <v>3.0335823526125941E-4</v>
      </c>
      <c r="H12" s="20" t="s">
        <v>24</v>
      </c>
      <c r="I12" s="20">
        <v>0.27054344250727236</v>
      </c>
      <c r="N12" s="2" t="s">
        <v>6</v>
      </c>
      <c r="O12" s="3">
        <f t="shared" si="0"/>
        <v>4.286759968971531E-4</v>
      </c>
      <c r="P12" s="3">
        <f t="shared" si="0"/>
        <v>4.5627326575527612E-4</v>
      </c>
      <c r="Q12" s="3">
        <f t="shared" si="0"/>
        <v>2.0006001176818634E-4</v>
      </c>
      <c r="R12" s="3">
        <f t="shared" si="0"/>
        <v>2.0114351461147158E-4</v>
      </c>
      <c r="S12" s="3">
        <f t="shared" si="0"/>
        <v>1.9098070097032019E-4</v>
      </c>
      <c r="T12" s="4"/>
      <c r="U12" s="23">
        <v>3.3965567967760344E-4</v>
      </c>
      <c r="V12" s="21">
        <v>6.0000000000000016E-4</v>
      </c>
      <c r="W12" s="23">
        <v>3.2460441502455702E-4</v>
      </c>
      <c r="X12" s="21">
        <v>6.0000000000000016E-4</v>
      </c>
      <c r="Y12" s="23">
        <v>3.1032755142660018E-4</v>
      </c>
      <c r="Z12" s="21">
        <v>6.0000000000000016E-4</v>
      </c>
      <c r="AA12" s="23">
        <v>2.9679919570171399E-4</v>
      </c>
      <c r="AB12" s="21">
        <v>6.0000000000000016E-4</v>
      </c>
      <c r="AC12" s="23">
        <v>3.3965567839845288E-4</v>
      </c>
      <c r="AD12" s="21">
        <v>6.0000000000000016E-4</v>
      </c>
    </row>
    <row r="13" spans="1:30" x14ac:dyDescent="0.3">
      <c r="A13" s="2" t="s">
        <v>25</v>
      </c>
      <c r="B13">
        <v>0.12408227528035462</v>
      </c>
      <c r="D13" s="15"/>
      <c r="H13" s="20" t="s">
        <v>25</v>
      </c>
      <c r="I13" s="20">
        <v>0.17427505132756754</v>
      </c>
      <c r="N13" s="2" t="s">
        <v>7</v>
      </c>
      <c r="O13" s="3">
        <f t="shared" si="0"/>
        <v>2.4432097920309872E-4</v>
      </c>
      <c r="P13" s="3">
        <f t="shared" si="0"/>
        <v>2.0006001176818634E-4</v>
      </c>
      <c r="Q13" s="3">
        <f t="shared" si="0"/>
        <v>7.9018804327743073E-4</v>
      </c>
      <c r="R13" s="3">
        <f t="shared" si="0"/>
        <v>2.5441984390306833E-4</v>
      </c>
      <c r="S13" s="3">
        <f t="shared" si="0"/>
        <v>2.8039601932078594E-4</v>
      </c>
      <c r="U13" s="23">
        <v>3.6221703230211613E-4</v>
      </c>
      <c r="V13" s="21">
        <v>6.5000000000000019E-4</v>
      </c>
      <c r="W13" s="23">
        <v>3.4519615007206359E-4</v>
      </c>
      <c r="X13" s="21">
        <v>6.5000000000000019E-4</v>
      </c>
      <c r="Y13" s="23">
        <v>3.2908585644775745E-4</v>
      </c>
      <c r="Z13" s="21">
        <v>6.5000000000000019E-4</v>
      </c>
      <c r="AA13" s="23">
        <v>3.1385338034119534E-4</v>
      </c>
      <c r="AB13" s="21">
        <v>6.5000000000000019E-4</v>
      </c>
      <c r="AC13" s="23">
        <v>3.6221703180060047E-4</v>
      </c>
      <c r="AD13" s="21">
        <v>6.5000000000000019E-4</v>
      </c>
    </row>
    <row r="14" spans="1:30" x14ac:dyDescent="0.3">
      <c r="A14" s="2" t="s">
        <v>26</v>
      </c>
      <c r="B14">
        <v>0.28608900682758903</v>
      </c>
      <c r="D14" s="15"/>
      <c r="H14" s="20" t="s">
        <v>26</v>
      </c>
      <c r="I14" s="20">
        <v>0.38085440775090917</v>
      </c>
      <c r="N14" s="2" t="s">
        <v>8</v>
      </c>
      <c r="O14" s="3">
        <f t="shared" si="0"/>
        <v>2.1148372783467761E-4</v>
      </c>
      <c r="P14" s="3">
        <f t="shared" si="0"/>
        <v>2.0114351461147158E-4</v>
      </c>
      <c r="Q14" s="3">
        <f t="shared" si="0"/>
        <v>2.5441984390306833E-4</v>
      </c>
      <c r="R14" s="3">
        <f t="shared" si="0"/>
        <v>4.8228423111802688E-4</v>
      </c>
      <c r="S14" s="3">
        <f t="shared" si="0"/>
        <v>2.8521236619761056E-4</v>
      </c>
      <c r="U14" s="23">
        <v>3.9470092821975957E-4</v>
      </c>
      <c r="V14" s="21">
        <v>7.0000000015383863E-4</v>
      </c>
      <c r="W14" s="23">
        <v>3.7459210822271235E-4</v>
      </c>
      <c r="X14" s="21">
        <v>7.0000000000000021E-4</v>
      </c>
      <c r="Y14" s="23">
        <v>3.5499359517656321E-4</v>
      </c>
      <c r="Z14" s="21">
        <v>7.0000000000000021E-4</v>
      </c>
      <c r="AA14" s="23">
        <v>3.3799117439124694E-4</v>
      </c>
      <c r="AB14" s="21">
        <v>7.0000000000000021E-4</v>
      </c>
      <c r="AC14" s="23">
        <v>3.9470093060378517E-4</v>
      </c>
      <c r="AD14" s="21">
        <v>7.0000000000000021E-4</v>
      </c>
    </row>
    <row r="15" spans="1:30" x14ac:dyDescent="0.3">
      <c r="A15" s="2" t="s">
        <v>27</v>
      </c>
      <c r="B15">
        <v>0.18142477095560655</v>
      </c>
      <c r="D15" s="15"/>
      <c r="H15" s="20" t="s">
        <v>27</v>
      </c>
      <c r="I15" s="20">
        <v>0.12052639374878381</v>
      </c>
      <c r="N15" s="2" t="s">
        <v>9</v>
      </c>
      <c r="O15" s="3">
        <f t="shared" si="0"/>
        <v>2.0360915224529712E-4</v>
      </c>
      <c r="P15" s="3">
        <f t="shared" si="0"/>
        <v>1.9098070097032019E-4</v>
      </c>
      <c r="Q15" s="3">
        <f t="shared" si="0"/>
        <v>2.8039601932078594E-4</v>
      </c>
      <c r="R15" s="3">
        <f t="shared" si="0"/>
        <v>2.8521236619761056E-4</v>
      </c>
      <c r="S15" s="3">
        <f t="shared" si="0"/>
        <v>5.9974822660031641E-4</v>
      </c>
      <c r="U15" s="23">
        <v>5.2723151336258472E-4</v>
      </c>
      <c r="V15" s="21">
        <v>7.5000000000000023E-4</v>
      </c>
      <c r="W15" s="23">
        <v>5.0355165836348838E-4</v>
      </c>
      <c r="X15" s="21">
        <v>7.5000000000000023E-4</v>
      </c>
      <c r="Y15" s="23">
        <v>4.8122264645464037E-4</v>
      </c>
      <c r="Z15" s="21">
        <v>7.5000000000000023E-4</v>
      </c>
      <c r="AA15" s="23">
        <v>4.6016608653870055E-4</v>
      </c>
      <c r="AB15" s="21">
        <v>7.5000000000000023E-4</v>
      </c>
      <c r="AC15" s="23">
        <v>5.2723154942724618E-4</v>
      </c>
      <c r="AD15" s="21">
        <v>7.5000000000000023E-4</v>
      </c>
    </row>
    <row r="16" spans="1:30" x14ac:dyDescent="0.3">
      <c r="A16" s="16" t="s">
        <v>35</v>
      </c>
      <c r="B16">
        <f>SUM(B11:B15)</f>
        <v>0.99999999999999978</v>
      </c>
      <c r="I16">
        <f>SUM(I11:I15)</f>
        <v>1</v>
      </c>
      <c r="U16" s="21"/>
      <c r="V16" s="21"/>
      <c r="W16" s="21"/>
      <c r="X16" s="21"/>
      <c r="Y16" s="21"/>
      <c r="Z16" s="21"/>
      <c r="AA16" s="21"/>
      <c r="AB16" s="21"/>
      <c r="AC16" s="21"/>
      <c r="AD16" s="21"/>
    </row>
    <row r="17" spans="1:30" x14ac:dyDescent="0.3">
      <c r="A17" s="28" t="s">
        <v>30</v>
      </c>
      <c r="B17" s="28"/>
      <c r="C17" s="28"/>
      <c r="D17" s="28"/>
      <c r="E17" s="28"/>
      <c r="F17" s="28"/>
      <c r="G17" s="28"/>
      <c r="H17" s="28"/>
      <c r="I17" s="28"/>
      <c r="J17" s="28"/>
      <c r="K17" s="28"/>
      <c r="N17" s="25" t="s">
        <v>21</v>
      </c>
      <c r="O17" s="25"/>
      <c r="P17" s="25"/>
      <c r="Q17" s="25"/>
      <c r="R17" s="25"/>
      <c r="S17" s="25"/>
      <c r="U17" s="21"/>
      <c r="V17" s="21"/>
      <c r="W17" s="21"/>
      <c r="X17" s="21"/>
      <c r="Y17" s="21"/>
      <c r="Z17" s="21"/>
      <c r="AA17" s="21"/>
      <c r="AB17" s="21"/>
      <c r="AC17" s="21"/>
      <c r="AD17" s="21"/>
    </row>
    <row r="18" spans="1:30" x14ac:dyDescent="0.3">
      <c r="A18" s="27" t="s">
        <v>22</v>
      </c>
      <c r="B18" s="27"/>
      <c r="H18" s="19" t="s">
        <v>44</v>
      </c>
      <c r="I18" s="19"/>
      <c r="N18" s="2"/>
      <c r="O18" s="2" t="s">
        <v>5</v>
      </c>
      <c r="P18" s="2" t="s">
        <v>6</v>
      </c>
      <c r="Q18" s="2" t="s">
        <v>7</v>
      </c>
      <c r="R18" s="2" t="s">
        <v>8</v>
      </c>
      <c r="S18" s="2" t="s">
        <v>9</v>
      </c>
      <c r="U18" s="21"/>
      <c r="V18" s="26"/>
      <c r="W18" s="26"/>
      <c r="X18" s="21"/>
      <c r="Y18" s="21"/>
      <c r="Z18" s="21"/>
      <c r="AA18" s="21"/>
      <c r="AB18" s="21"/>
      <c r="AC18" s="21"/>
      <c r="AD18" s="21"/>
    </row>
    <row r="19" spans="1:30" x14ac:dyDescent="0.3">
      <c r="A19" s="2" t="s">
        <v>23</v>
      </c>
      <c r="B19">
        <v>0</v>
      </c>
      <c r="E19" s="17" t="s">
        <v>28</v>
      </c>
      <c r="F19" s="15">
        <f>SUMPRODUCT(B19:B23,C3:C7)</f>
        <v>4.2900321440619415E-4</v>
      </c>
      <c r="H19" s="20" t="s">
        <v>23</v>
      </c>
      <c r="I19" s="20">
        <v>4.1993543222727511E-2</v>
      </c>
      <c r="N19" s="2" t="s">
        <v>5</v>
      </c>
      <c r="O19" s="3">
        <f t="shared" ref="O19:S23" si="1">INDEX($H$3:$L$7,2,MATCH(O$18,$H$2:$L$2,0))*INDEX($H$3:$L$7,2,MATCH($N19,$H$2:$L$2,0))*INDEX($O$3:$S$7,MATCH($N19,$N$3:$N$7,0),MATCH(O$18,$O$2:$S$2,0))</f>
        <v>6.43350779514166E-4</v>
      </c>
      <c r="P19" s="3">
        <f t="shared" si="1"/>
        <v>4.2584491435125198E-4</v>
      </c>
      <c r="Q19" s="3">
        <f t="shared" si="1"/>
        <v>2.3847863213279232E-4</v>
      </c>
      <c r="R19" s="3">
        <f t="shared" si="1"/>
        <v>2.0453298602902387E-4</v>
      </c>
      <c r="S19" s="3">
        <f t="shared" si="1"/>
        <v>1.9978021009547613E-4</v>
      </c>
      <c r="V19" s="5"/>
      <c r="W19" s="5"/>
      <c r="AA19" s="21"/>
      <c r="AB19" s="21"/>
    </row>
    <row r="20" spans="1:30" x14ac:dyDescent="0.3">
      <c r="A20" s="2" t="s">
        <v>24</v>
      </c>
      <c r="B20">
        <v>0.38907655732842483</v>
      </c>
      <c r="E20" s="17" t="s">
        <v>36</v>
      </c>
      <c r="F20">
        <f>SUMPRODUCT(B19:B23,O19:O23)*B19+SUMPRODUCT(B19:B23,P19:P23)*B20+SUMPRODUCT(B19:B23,Q19:Q23)*B21+SUMPRODUCT(B19:B23,R19:R23)*B22+SUMPRODUCT(B19:B23,S19:S23)*B23</f>
        <v>2.9382961542471191E-4</v>
      </c>
      <c r="H20" s="20" t="s">
        <v>24</v>
      </c>
      <c r="I20" s="20">
        <v>0.27454384500936641</v>
      </c>
      <c r="N20" s="2" t="s">
        <v>6</v>
      </c>
      <c r="O20" s="3">
        <f t="shared" si="1"/>
        <v>4.2584491435125198E-4</v>
      </c>
      <c r="P20" s="3">
        <f t="shared" si="1"/>
        <v>4.5300123344635922E-4</v>
      </c>
      <c r="Q20" s="3">
        <f t="shared" si="1"/>
        <v>1.9516460844377312E-4</v>
      </c>
      <c r="R20" s="3">
        <f t="shared" si="1"/>
        <v>1.9442159374835345E-4</v>
      </c>
      <c r="S20" s="3">
        <f t="shared" si="1"/>
        <v>1.8728229202400718E-4</v>
      </c>
      <c r="V20" s="21"/>
      <c r="W20" s="21"/>
    </row>
    <row r="21" spans="1:30" x14ac:dyDescent="0.3">
      <c r="A21" s="2" t="s">
        <v>25</v>
      </c>
      <c r="B21">
        <v>0.12627128455254782</v>
      </c>
      <c r="H21" s="20" t="s">
        <v>25</v>
      </c>
      <c r="I21" s="20">
        <v>0.16971670149111093</v>
      </c>
      <c r="N21" s="2" t="s">
        <v>7</v>
      </c>
      <c r="O21" s="3">
        <f t="shared" si="1"/>
        <v>2.3847863213279232E-4</v>
      </c>
      <c r="P21" s="3">
        <f t="shared" si="1"/>
        <v>1.9516460844377312E-4</v>
      </c>
      <c r="Q21" s="3">
        <f t="shared" si="1"/>
        <v>7.5742152240556898E-4</v>
      </c>
      <c r="R21" s="3">
        <f t="shared" si="1"/>
        <v>2.4163278499748309E-4</v>
      </c>
      <c r="S21" s="3">
        <f t="shared" si="1"/>
        <v>2.7017520501045988E-4</v>
      </c>
      <c r="V21" s="21"/>
      <c r="W21" s="21"/>
    </row>
    <row r="22" spans="1:30" x14ac:dyDescent="0.3">
      <c r="A22" s="2" t="s">
        <v>26</v>
      </c>
      <c r="B22">
        <v>0.30734916553144415</v>
      </c>
      <c r="H22" s="20" t="s">
        <v>26</v>
      </c>
      <c r="I22" s="20">
        <v>0.38964033010209764</v>
      </c>
      <c r="N22" s="2" t="s">
        <v>8</v>
      </c>
      <c r="O22" s="3">
        <f t="shared" si="1"/>
        <v>2.0453298602902387E-4</v>
      </c>
      <c r="P22" s="3">
        <f t="shared" si="1"/>
        <v>1.9442159374835345E-4</v>
      </c>
      <c r="Q22" s="3">
        <f t="shared" si="1"/>
        <v>2.4163278499748309E-4</v>
      </c>
      <c r="R22" s="3">
        <f t="shared" si="1"/>
        <v>4.538429881097167E-4</v>
      </c>
      <c r="S22" s="3">
        <f t="shared" si="1"/>
        <v>2.7229501302239212E-4</v>
      </c>
      <c r="V22" s="21"/>
      <c r="W22" s="21"/>
    </row>
    <row r="23" spans="1:30" x14ac:dyDescent="0.3">
      <c r="A23" s="2" t="s">
        <v>27</v>
      </c>
      <c r="B23">
        <v>0.17730299258758328</v>
      </c>
      <c r="H23" s="20" t="s">
        <v>27</v>
      </c>
      <c r="I23" s="20">
        <v>0.12410558017469746</v>
      </c>
      <c r="N23" s="2" t="s">
        <v>9</v>
      </c>
      <c r="O23" s="3">
        <f t="shared" si="1"/>
        <v>1.9978021009547613E-4</v>
      </c>
      <c r="P23" s="3">
        <f t="shared" si="1"/>
        <v>1.8728229202400718E-4</v>
      </c>
      <c r="Q23" s="3">
        <f t="shared" si="1"/>
        <v>2.7017520501045988E-4</v>
      </c>
      <c r="R23" s="3">
        <f t="shared" si="1"/>
        <v>2.7229501302239212E-4</v>
      </c>
      <c r="S23" s="3">
        <f t="shared" si="1"/>
        <v>5.8091029940252449E-4</v>
      </c>
      <c r="U23" s="18"/>
      <c r="V23" s="21"/>
      <c r="W23" s="21"/>
      <c r="X23" s="18"/>
      <c r="Y23" s="18"/>
      <c r="Z23" s="18"/>
      <c r="AA23" s="18"/>
      <c r="AB23" s="18"/>
      <c r="AC23" s="18"/>
      <c r="AD23" s="18"/>
    </row>
    <row r="24" spans="1:30" x14ac:dyDescent="0.3">
      <c r="A24" s="16" t="s">
        <v>35</v>
      </c>
      <c r="B24">
        <f>SUM(B19:B23)</f>
        <v>1.0000000000000002</v>
      </c>
      <c r="I24">
        <f>SUM(I19:I23)</f>
        <v>0.99999999999999989</v>
      </c>
      <c r="U24" s="18"/>
      <c r="V24" s="21"/>
      <c r="W24" s="21"/>
      <c r="X24" s="18"/>
      <c r="Y24" s="18"/>
      <c r="Z24" s="18"/>
      <c r="AA24" s="18"/>
      <c r="AB24" s="18"/>
      <c r="AC24" s="18"/>
      <c r="AD24" s="18"/>
    </row>
    <row r="25" spans="1:30" x14ac:dyDescent="0.3">
      <c r="A25" s="28" t="s">
        <v>31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N25" s="25" t="s">
        <v>20</v>
      </c>
      <c r="O25" s="25"/>
      <c r="P25" s="25"/>
      <c r="Q25" s="25"/>
      <c r="R25" s="25"/>
      <c r="S25" s="25"/>
      <c r="U25" s="18"/>
      <c r="Y25" s="18"/>
      <c r="Z25" s="18"/>
      <c r="AA25" s="18"/>
      <c r="AB25" s="18"/>
      <c r="AC25" s="18"/>
      <c r="AD25" s="18"/>
    </row>
    <row r="26" spans="1:30" x14ac:dyDescent="0.3">
      <c r="A26" s="27" t="s">
        <v>22</v>
      </c>
      <c r="B26" s="27"/>
      <c r="H26" s="19" t="s">
        <v>44</v>
      </c>
      <c r="I26" s="19"/>
      <c r="N26" s="2"/>
      <c r="O26" s="2" t="s">
        <v>5</v>
      </c>
      <c r="P26" s="2" t="s">
        <v>6</v>
      </c>
      <c r="Q26" s="2" t="s">
        <v>7</v>
      </c>
      <c r="R26" s="2" t="s">
        <v>8</v>
      </c>
      <c r="S26" s="2" t="s">
        <v>9</v>
      </c>
      <c r="U26" s="18"/>
      <c r="V26" s="21"/>
      <c r="X26" s="21"/>
      <c r="Y26" s="18"/>
      <c r="Z26" s="18"/>
      <c r="AA26" s="18"/>
      <c r="AB26" s="18"/>
      <c r="AC26" s="18"/>
      <c r="AD26" s="18"/>
    </row>
    <row r="27" spans="1:30" x14ac:dyDescent="0.3">
      <c r="A27" s="2" t="s">
        <v>23</v>
      </c>
      <c r="B27">
        <v>1.6704307528628926E-3</v>
      </c>
      <c r="E27" s="17" t="s">
        <v>28</v>
      </c>
      <c r="F27" s="15">
        <f>SUMPRODUCT(B27:B31,D3:D7)</f>
        <v>4.5000000064998911E-4</v>
      </c>
      <c r="H27" s="20" t="s">
        <v>23</v>
      </c>
      <c r="I27" s="20">
        <v>3.0931983901666675E-2</v>
      </c>
      <c r="N27" s="2" t="s">
        <v>5</v>
      </c>
      <c r="O27" s="3">
        <f t="shared" ref="O27:S31" si="2">INDEX($H$3:$L$7,3,MATCH(O$26,$H$2:$L$2,0))*INDEX($H$3:$L$7,3,MATCH($N27,$H$2:$L$2,0))*INDEX($O$3:$S$7,MATCH($N27,$N$3:$N$7,0),MATCH(O$10,$O$2:$S$2,0))</f>
        <v>6.3948564000708235E-4</v>
      </c>
      <c r="P27" s="3">
        <f t="shared" si="2"/>
        <v>4.2304624273167081E-4</v>
      </c>
      <c r="Q27" s="3">
        <f t="shared" si="2"/>
        <v>2.3283299794392114E-4</v>
      </c>
      <c r="R27" s="3">
        <f t="shared" si="2"/>
        <v>1.9791108036979355E-4</v>
      </c>
      <c r="S27" s="3">
        <f t="shared" si="2"/>
        <v>1.9607201318061165E-4</v>
      </c>
      <c r="U27" s="18"/>
      <c r="V27" s="21"/>
      <c r="X27" s="21"/>
      <c r="Y27" s="18"/>
      <c r="Z27" s="18"/>
      <c r="AA27" s="18"/>
      <c r="AB27" s="18"/>
      <c r="AC27" s="18"/>
      <c r="AD27" s="18"/>
    </row>
    <row r="28" spans="1:30" x14ac:dyDescent="0.3">
      <c r="A28" s="2" t="s">
        <v>24</v>
      </c>
      <c r="B28">
        <v>0.35795780655812059</v>
      </c>
      <c r="E28" s="17" t="s">
        <v>36</v>
      </c>
      <c r="F28">
        <f>SUMPRODUCT(B27:B31,O27:O31)*B27+SUMPRODUCT(B27:B31,P27:P31)*B28+SUMPRODUCT(B27:B31,Q27:Q31)*B29+SUMPRODUCT(B27:B31,R27:R31)*B30+SUMPRODUCT(B27:B31,S27:S31)*B31</f>
        <v>2.8450942993643846E-4</v>
      </c>
      <c r="H28" s="20" t="s">
        <v>24</v>
      </c>
      <c r="I28" s="20">
        <v>0.27807847527554647</v>
      </c>
      <c r="N28" s="2" t="s">
        <v>6</v>
      </c>
      <c r="O28" s="3">
        <f t="shared" si="2"/>
        <v>4.2304624273167081E-4</v>
      </c>
      <c r="P28" s="3">
        <f t="shared" si="2"/>
        <v>4.4976864279185015E-4</v>
      </c>
      <c r="Q28" s="3">
        <f t="shared" si="2"/>
        <v>1.9043621224621522E-4</v>
      </c>
      <c r="R28" s="3">
        <f t="shared" si="2"/>
        <v>1.8802026556284318E-4</v>
      </c>
      <c r="S28" s="3">
        <f t="shared" si="2"/>
        <v>1.837017401799642E-4</v>
      </c>
      <c r="U28" s="18"/>
      <c r="V28" s="21"/>
      <c r="X28" s="21"/>
      <c r="Y28" s="18"/>
      <c r="Z28" s="18"/>
      <c r="AA28" s="18"/>
      <c r="AB28" s="18"/>
      <c r="AC28" s="18"/>
      <c r="AD28" s="18"/>
    </row>
    <row r="29" spans="1:30" x14ac:dyDescent="0.3">
      <c r="A29" s="2" t="s">
        <v>25</v>
      </c>
      <c r="B29">
        <v>0.13491184086459049</v>
      </c>
      <c r="H29" s="20" t="s">
        <v>25</v>
      </c>
      <c r="I29" s="20">
        <v>0.16515322941404464</v>
      </c>
      <c r="N29" s="2" t="s">
        <v>7</v>
      </c>
      <c r="O29" s="3">
        <f t="shared" si="2"/>
        <v>2.3283299794392114E-4</v>
      </c>
      <c r="P29" s="3">
        <f t="shared" si="2"/>
        <v>1.9043621224621522E-4</v>
      </c>
      <c r="Q29" s="3">
        <f t="shared" si="2"/>
        <v>7.2634807983293522E-4</v>
      </c>
      <c r="R29" s="3">
        <f t="shared" si="2"/>
        <v>2.2965436443156672E-4</v>
      </c>
      <c r="S29" s="3">
        <f t="shared" si="2"/>
        <v>2.6044781913768761E-4</v>
      </c>
      <c r="U29" s="18"/>
      <c r="V29" s="21"/>
      <c r="X29" s="21"/>
      <c r="Y29" s="18"/>
      <c r="Z29" s="18"/>
      <c r="AA29" s="18"/>
      <c r="AB29" s="18"/>
      <c r="AC29" s="18"/>
      <c r="AD29" s="18"/>
    </row>
    <row r="30" spans="1:30" x14ac:dyDescent="0.3">
      <c r="A30" s="2" t="s">
        <v>26</v>
      </c>
      <c r="B30">
        <v>0.33947208123194567</v>
      </c>
      <c r="H30" s="20" t="s">
        <v>26</v>
      </c>
      <c r="I30" s="20">
        <v>0.39815772903960267</v>
      </c>
      <c r="N30" s="2" t="s">
        <v>8</v>
      </c>
      <c r="O30" s="3">
        <f t="shared" si="2"/>
        <v>1.9791108036979355E-4</v>
      </c>
      <c r="P30" s="3">
        <f t="shared" si="2"/>
        <v>1.8802026556284318E-4</v>
      </c>
      <c r="Q30" s="3">
        <f t="shared" si="2"/>
        <v>2.2965436443156672E-4</v>
      </c>
      <c r="R30" s="3">
        <f t="shared" si="2"/>
        <v>4.2750004663476298E-4</v>
      </c>
      <c r="S30" s="3">
        <f t="shared" si="2"/>
        <v>2.6015166852268564E-4</v>
      </c>
      <c r="U30" s="18"/>
      <c r="V30" s="21"/>
      <c r="X30" s="21"/>
      <c r="Y30" s="18"/>
      <c r="Z30" s="18"/>
      <c r="AA30" s="18"/>
      <c r="AB30" s="18"/>
      <c r="AC30" s="18"/>
      <c r="AD30" s="18"/>
    </row>
    <row r="31" spans="1:30" x14ac:dyDescent="0.3">
      <c r="A31" s="2" t="s">
        <v>27</v>
      </c>
      <c r="B31">
        <v>0.16598784059248034</v>
      </c>
      <c r="H31" s="20" t="s">
        <v>27</v>
      </c>
      <c r="I31" s="20">
        <v>0.12767858236913956</v>
      </c>
      <c r="N31" s="2" t="s">
        <v>9</v>
      </c>
      <c r="O31" s="3">
        <f t="shared" si="2"/>
        <v>1.9607201318061165E-4</v>
      </c>
      <c r="P31" s="3">
        <f t="shared" si="2"/>
        <v>1.837017401799642E-4</v>
      </c>
      <c r="Q31" s="3">
        <f t="shared" si="2"/>
        <v>2.6044781913768761E-4</v>
      </c>
      <c r="R31" s="3">
        <f t="shared" si="2"/>
        <v>2.6015166852268564E-4</v>
      </c>
      <c r="S31" s="3">
        <f t="shared" si="2"/>
        <v>5.6292741074119438E-4</v>
      </c>
      <c r="U31" s="18"/>
      <c r="V31" s="21"/>
      <c r="X31" s="21"/>
      <c r="Y31" s="18"/>
      <c r="Z31" s="18"/>
      <c r="AA31" s="18"/>
      <c r="AB31" s="18"/>
      <c r="AC31" s="18"/>
      <c r="AD31" s="18"/>
    </row>
    <row r="32" spans="1:30" x14ac:dyDescent="0.3">
      <c r="A32" s="16" t="s">
        <v>35</v>
      </c>
      <c r="B32">
        <f>SUM(B27:B31)</f>
        <v>1</v>
      </c>
      <c r="I32">
        <f>SUM(I27:I31)</f>
        <v>1</v>
      </c>
      <c r="U32" s="18"/>
      <c r="V32" s="21"/>
      <c r="X32" s="21"/>
      <c r="Y32" s="18"/>
      <c r="Z32" s="18"/>
      <c r="AA32" s="18"/>
      <c r="AB32" s="18"/>
      <c r="AC32" s="18"/>
      <c r="AD32" s="18"/>
    </row>
    <row r="33" spans="1:19" x14ac:dyDescent="0.3">
      <c r="A33" s="28" t="s">
        <v>32</v>
      </c>
      <c r="B33" s="28"/>
      <c r="C33" s="28"/>
      <c r="D33" s="28"/>
      <c r="E33" s="28"/>
      <c r="F33" s="28"/>
      <c r="G33" s="28"/>
      <c r="H33" s="28"/>
      <c r="I33" s="28"/>
      <c r="J33" s="28"/>
      <c r="K33" s="28"/>
      <c r="N33" s="25" t="s">
        <v>19</v>
      </c>
      <c r="O33" s="25"/>
      <c r="P33" s="25"/>
      <c r="Q33" s="25"/>
      <c r="R33" s="25"/>
      <c r="S33" s="25"/>
    </row>
    <row r="34" spans="1:19" x14ac:dyDescent="0.3">
      <c r="A34" s="27" t="s">
        <v>22</v>
      </c>
      <c r="B34" s="27"/>
      <c r="H34" s="19" t="s">
        <v>44</v>
      </c>
      <c r="I34" s="19"/>
      <c r="N34" s="2"/>
      <c r="O34" s="2" t="s">
        <v>5</v>
      </c>
      <c r="P34" s="2" t="s">
        <v>6</v>
      </c>
      <c r="Q34" s="2" t="s">
        <v>7</v>
      </c>
      <c r="R34" s="2" t="s">
        <v>8</v>
      </c>
      <c r="S34" s="2" t="s">
        <v>9</v>
      </c>
    </row>
    <row r="35" spans="1:19" x14ac:dyDescent="0.3">
      <c r="A35" s="2" t="s">
        <v>23</v>
      </c>
      <c r="B35">
        <v>0</v>
      </c>
      <c r="E35" s="17" t="s">
        <v>28</v>
      </c>
      <c r="F35" s="15">
        <f>SUMPRODUCT(B35:B39,E3:E7)</f>
        <v>4.5246161506853086E-4</v>
      </c>
      <c r="H35" s="20" t="s">
        <v>23</v>
      </c>
      <c r="I35" s="20">
        <v>2.0585123433110631E-2</v>
      </c>
      <c r="N35" s="2" t="s">
        <v>5</v>
      </c>
      <c r="O35" s="3">
        <f t="shared" ref="O35:S39" si="3">INDEX($H$3:$L$7,4,MATCH(O$34,$H$2:$L$2,0))*INDEX($H$3:$L$7,4,MATCH($N35,$H$2:$L$2,0))*INDEX($O$3:$S$7,MATCH($N35,$N$3:$N$7,0),MATCH(O$10,$O$2:$S$2,0))</f>
        <v>6.3566237455916119E-4</v>
      </c>
      <c r="P35" s="3">
        <f t="shared" si="3"/>
        <v>4.2027961172618546E-4</v>
      </c>
      <c r="Q35" s="3">
        <f t="shared" si="3"/>
        <v>2.2737832412710754E-4</v>
      </c>
      <c r="R35" s="3">
        <f t="shared" si="3"/>
        <v>1.9160489667581588E-4</v>
      </c>
      <c r="S35" s="3">
        <f t="shared" si="3"/>
        <v>1.9248124289624239E-4</v>
      </c>
    </row>
    <row r="36" spans="1:19" x14ac:dyDescent="0.3">
      <c r="A36" s="2" t="s">
        <v>24</v>
      </c>
      <c r="B36">
        <v>0.35153849072170268</v>
      </c>
      <c r="E36" s="17" t="s">
        <v>36</v>
      </c>
      <c r="F36">
        <f>SUMPRODUCT(B35:B39,O35:O39)*B35+SUMPRODUCT(B35:B39,P35:P39)*B36+SUMPRODUCT(B35:B39,Q35:Q39)*B37+SUMPRODUCT(B35:B39,R35:R39)*B38+SUMPRODUCT(B35:B39,S35:S39)*B39</f>
        <v>2.7514752596357673E-4</v>
      </c>
      <c r="H36" s="20" t="s">
        <v>24</v>
      </c>
      <c r="I36" s="20">
        <v>0.28117369667801029</v>
      </c>
      <c r="N36" s="2" t="s">
        <v>6</v>
      </c>
      <c r="O36" s="3">
        <f t="shared" si="3"/>
        <v>4.2027961172618546E-4</v>
      </c>
      <c r="P36" s="3">
        <f t="shared" si="3"/>
        <v>4.4657501835508503E-4</v>
      </c>
      <c r="Q36" s="3">
        <f t="shared" si="3"/>
        <v>1.8586980219008724E-4</v>
      </c>
      <c r="R36" s="3">
        <f t="shared" si="3"/>
        <v>1.8192648424314543E-4</v>
      </c>
      <c r="S36" s="3">
        <f t="shared" si="3"/>
        <v>1.8023571241639061E-4</v>
      </c>
    </row>
    <row r="37" spans="1:19" x14ac:dyDescent="0.3">
      <c r="A37" s="2" t="s">
        <v>25</v>
      </c>
      <c r="B37">
        <v>0.13131460232938841</v>
      </c>
      <c r="H37" s="20" t="s">
        <v>25</v>
      </c>
      <c r="I37" s="20">
        <v>0.16060505580888168</v>
      </c>
      <c r="N37" s="2" t="s">
        <v>7</v>
      </c>
      <c r="O37" s="3">
        <f t="shared" si="3"/>
        <v>2.2737832412710754E-4</v>
      </c>
      <c r="P37" s="3">
        <f t="shared" si="3"/>
        <v>1.8586980219008724E-4</v>
      </c>
      <c r="Q37" s="3">
        <f t="shared" si="3"/>
        <v>6.968802325417597E-4</v>
      </c>
      <c r="R37" s="3">
        <f t="shared" si="3"/>
        <v>2.1843388964644503E-4</v>
      </c>
      <c r="S37" s="3">
        <f t="shared" si="3"/>
        <v>2.5119000429285208E-4</v>
      </c>
    </row>
    <row r="38" spans="1:19" x14ac:dyDescent="0.3">
      <c r="A38" s="2" t="s">
        <v>26</v>
      </c>
      <c r="B38">
        <v>0.34824519085514449</v>
      </c>
      <c r="H38" s="20" t="s">
        <v>26</v>
      </c>
      <c r="I38" s="20">
        <v>0.40639555312477971</v>
      </c>
      <c r="N38" s="2" t="s">
        <v>8</v>
      </c>
      <c r="O38" s="3">
        <f t="shared" si="3"/>
        <v>1.9160489667581588E-4</v>
      </c>
      <c r="P38" s="3">
        <f t="shared" si="3"/>
        <v>1.8192648424314543E-4</v>
      </c>
      <c r="Q38" s="3">
        <f t="shared" si="3"/>
        <v>2.1843388964644503E-4</v>
      </c>
      <c r="R38" s="3">
        <f t="shared" si="3"/>
        <v>4.0310060089500345E-4</v>
      </c>
      <c r="S38" s="3">
        <f t="shared" si="3"/>
        <v>2.4873689397309439E-4</v>
      </c>
    </row>
    <row r="39" spans="1:19" x14ac:dyDescent="0.3">
      <c r="A39" s="2" t="s">
        <v>27</v>
      </c>
      <c r="B39">
        <v>0.16890171609376448</v>
      </c>
      <c r="H39" s="20" t="s">
        <v>27</v>
      </c>
      <c r="I39" s="20">
        <v>0.13124057095521771</v>
      </c>
      <c r="N39" s="2" t="s">
        <v>9</v>
      </c>
      <c r="O39" s="3">
        <f t="shared" si="3"/>
        <v>1.9248124289624239E-4</v>
      </c>
      <c r="P39" s="3">
        <f t="shared" si="3"/>
        <v>1.8023571241639061E-4</v>
      </c>
      <c r="Q39" s="3">
        <f t="shared" si="3"/>
        <v>2.5119000429285208E-4</v>
      </c>
      <c r="R39" s="3">
        <f t="shared" si="3"/>
        <v>2.4873689397309439E-4</v>
      </c>
      <c r="S39" s="3">
        <f t="shared" si="3"/>
        <v>5.4576075109703348E-4</v>
      </c>
    </row>
    <row r="40" spans="1:19" x14ac:dyDescent="0.3">
      <c r="A40" s="16" t="s">
        <v>35</v>
      </c>
      <c r="B40">
        <f>SUM(B35:B39)</f>
        <v>1</v>
      </c>
      <c r="I40">
        <f>SUM(I35:I39)</f>
        <v>1</v>
      </c>
    </row>
    <row r="41" spans="1:19" x14ac:dyDescent="0.3">
      <c r="A41" s="28" t="s">
        <v>33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N41" s="25" t="s">
        <v>18</v>
      </c>
      <c r="O41" s="25"/>
      <c r="P41" s="25"/>
      <c r="Q41" s="25"/>
      <c r="R41" s="25"/>
      <c r="S41" s="25"/>
    </row>
    <row r="42" spans="1:19" x14ac:dyDescent="0.3">
      <c r="A42" s="27" t="s">
        <v>22</v>
      </c>
      <c r="B42" s="27"/>
      <c r="H42" s="19" t="s">
        <v>44</v>
      </c>
      <c r="I42" s="19"/>
      <c r="N42" s="2"/>
      <c r="O42" s="2" t="s">
        <v>5</v>
      </c>
      <c r="P42" s="2" t="s">
        <v>6</v>
      </c>
      <c r="Q42" s="2" t="s">
        <v>7</v>
      </c>
      <c r="R42" s="2" t="s">
        <v>8</v>
      </c>
      <c r="S42" s="2" t="s">
        <v>9</v>
      </c>
    </row>
    <row r="43" spans="1:19" x14ac:dyDescent="0.3">
      <c r="A43" s="2" t="s">
        <v>23</v>
      </c>
      <c r="B43">
        <v>8.491694375137547E-2</v>
      </c>
      <c r="E43" s="17" t="s">
        <v>28</v>
      </c>
      <c r="F43" s="15">
        <f>SUMPRODUCT(B43:B47,F3:F7)</f>
        <v>5.4999999838882465E-4</v>
      </c>
      <c r="H43" s="20" t="s">
        <v>23</v>
      </c>
      <c r="I43" s="20">
        <v>5.3800558113632234E-2</v>
      </c>
      <c r="N43" s="2" t="s">
        <v>5</v>
      </c>
      <c r="O43" s="3">
        <f t="shared" ref="O43:S47" si="4">INDEX($H$3:$L$7,1,MATCH(O$42,$H$2:$L$2,0))*INDEX($H$3:$L$7,1,MATCH($N43,$H$2:$L$2,0))*INDEX($O$3:$S$7,MATCH($N43,$N$3:$N$7,0),MATCH(O$10,$O$2:$S$2,0))</f>
        <v>6.4725825170325432E-4</v>
      </c>
      <c r="P43" s="3">
        <f t="shared" si="4"/>
        <v>4.286759968971531E-4</v>
      </c>
      <c r="Q43" s="3">
        <f t="shared" si="4"/>
        <v>2.4432097920309872E-4</v>
      </c>
      <c r="R43" s="3">
        <f t="shared" si="4"/>
        <v>2.1148372783467761E-4</v>
      </c>
      <c r="S43" s="3">
        <f t="shared" si="4"/>
        <v>2.0360915224529712E-4</v>
      </c>
    </row>
    <row r="44" spans="1:19" x14ac:dyDescent="0.3">
      <c r="A44" s="2" t="s">
        <v>24</v>
      </c>
      <c r="B44">
        <v>0.18856660093964858</v>
      </c>
      <c r="E44" s="17" t="s">
        <v>36</v>
      </c>
      <c r="F44">
        <f>SUMPRODUCT(B43:B47,O43:O47)*B43+SUMPRODUCT(B43:B47,P43:P47)*B44+SUMPRODUCT(B43:B47,Q43:Q47)*B45+SUMPRODUCT(B43:B47,R43:R47)*B46+SUMPRODUCT(B43:B47,S43:S47)*B47</f>
        <v>3.225208915526284E-4</v>
      </c>
      <c r="H44" s="20" t="s">
        <v>24</v>
      </c>
      <c r="I44" s="20">
        <v>0.27054353888384874</v>
      </c>
      <c r="N44" s="2" t="s">
        <v>6</v>
      </c>
      <c r="O44" s="3">
        <f t="shared" si="4"/>
        <v>4.286759968971531E-4</v>
      </c>
      <c r="P44" s="3">
        <f t="shared" si="4"/>
        <v>4.5627326575527612E-4</v>
      </c>
      <c r="Q44" s="3">
        <f t="shared" si="4"/>
        <v>2.0006001176818634E-4</v>
      </c>
      <c r="R44" s="3">
        <f t="shared" si="4"/>
        <v>2.0114351461147158E-4</v>
      </c>
      <c r="S44" s="3">
        <f t="shared" si="4"/>
        <v>1.9098070097032019E-4</v>
      </c>
    </row>
    <row r="45" spans="1:19" x14ac:dyDescent="0.3">
      <c r="A45" s="2" t="s">
        <v>25</v>
      </c>
      <c r="B45">
        <v>0.20472634736825548</v>
      </c>
      <c r="H45" s="20" t="s">
        <v>25</v>
      </c>
      <c r="I45" s="20">
        <v>0.17427507790163588</v>
      </c>
      <c r="N45" s="2" t="s">
        <v>7</v>
      </c>
      <c r="O45" s="3">
        <f t="shared" si="4"/>
        <v>2.4432097920309872E-4</v>
      </c>
      <c r="P45" s="3">
        <f t="shared" si="4"/>
        <v>2.0006001176818634E-4</v>
      </c>
      <c r="Q45" s="3">
        <f t="shared" si="4"/>
        <v>7.9018804327743073E-4</v>
      </c>
      <c r="R45" s="3">
        <f t="shared" si="4"/>
        <v>2.5441984390306833E-4</v>
      </c>
      <c r="S45" s="3">
        <f t="shared" si="4"/>
        <v>2.8039601932078594E-4</v>
      </c>
    </row>
    <row r="46" spans="1:19" x14ac:dyDescent="0.3">
      <c r="A46" s="2" t="s">
        <v>26</v>
      </c>
      <c r="B46">
        <v>0.43830376629448664</v>
      </c>
      <c r="H46" s="20" t="s">
        <v>26</v>
      </c>
      <c r="I46" s="20">
        <v>0.38085443350763953</v>
      </c>
      <c r="N46" s="2" t="s">
        <v>8</v>
      </c>
      <c r="O46" s="3">
        <f t="shared" si="4"/>
        <v>2.1148372783467761E-4</v>
      </c>
      <c r="P46" s="3">
        <f t="shared" si="4"/>
        <v>2.0114351461147158E-4</v>
      </c>
      <c r="Q46" s="3">
        <f t="shared" si="4"/>
        <v>2.5441984390306833E-4</v>
      </c>
      <c r="R46" s="3">
        <f t="shared" si="4"/>
        <v>4.8228423111802688E-4</v>
      </c>
      <c r="S46" s="3">
        <f t="shared" si="4"/>
        <v>2.8521236619761056E-4</v>
      </c>
    </row>
    <row r="47" spans="1:19" x14ac:dyDescent="0.3">
      <c r="A47" s="2" t="s">
        <v>27</v>
      </c>
      <c r="B47">
        <v>8.3486341646233905E-2</v>
      </c>
      <c r="H47" s="20" t="s">
        <v>27</v>
      </c>
      <c r="I47" s="20">
        <v>0.12052639159324349</v>
      </c>
      <c r="N47" s="2" t="s">
        <v>9</v>
      </c>
      <c r="O47" s="3">
        <f t="shared" si="4"/>
        <v>2.0360915224529712E-4</v>
      </c>
      <c r="P47" s="3">
        <f t="shared" si="4"/>
        <v>1.9098070097032019E-4</v>
      </c>
      <c r="Q47" s="3">
        <f t="shared" si="4"/>
        <v>2.8039601932078594E-4</v>
      </c>
      <c r="R47" s="3">
        <f t="shared" si="4"/>
        <v>2.8521236619761056E-4</v>
      </c>
      <c r="S47" s="3">
        <f t="shared" si="4"/>
        <v>5.9974822660031641E-4</v>
      </c>
    </row>
    <row r="48" spans="1:19" x14ac:dyDescent="0.3">
      <c r="A48" s="16" t="s">
        <v>35</v>
      </c>
      <c r="B48">
        <f>SUM(B43:B47)</f>
        <v>1</v>
      </c>
      <c r="I48">
        <f>SUM(I43:I47)</f>
        <v>0.99999999999999989</v>
      </c>
    </row>
  </sheetData>
  <mergeCells count="23">
    <mergeCell ref="Y1:Z1"/>
    <mergeCell ref="AA1:AB1"/>
    <mergeCell ref="N9:S9"/>
    <mergeCell ref="N17:S17"/>
    <mergeCell ref="A1:F1"/>
    <mergeCell ref="U1:V1"/>
    <mergeCell ref="W1:X1"/>
    <mergeCell ref="N25:S25"/>
    <mergeCell ref="V18:W18"/>
    <mergeCell ref="AC1:AD1"/>
    <mergeCell ref="A42:B42"/>
    <mergeCell ref="A9:K9"/>
    <mergeCell ref="A17:K17"/>
    <mergeCell ref="A25:K25"/>
    <mergeCell ref="A33:K33"/>
    <mergeCell ref="A41:K41"/>
    <mergeCell ref="N33:S33"/>
    <mergeCell ref="N41:S41"/>
    <mergeCell ref="A10:B10"/>
    <mergeCell ref="A18:B18"/>
    <mergeCell ref="A26:B26"/>
    <mergeCell ref="A34:B34"/>
    <mergeCell ref="N1:S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9509-1D4A-41E9-8EB1-164B4F4D4EE6}">
  <dimension ref="A1:R14"/>
  <sheetViews>
    <sheetView tabSelected="1" workbookViewId="0">
      <selection activeCell="M1" sqref="M1:R7"/>
    </sheetView>
  </sheetViews>
  <sheetFormatPr defaultRowHeight="14.4" x14ac:dyDescent="0.3"/>
  <cols>
    <col min="1" max="1" width="7.88671875" customWidth="1"/>
    <col min="2" max="10" width="7.21875" customWidth="1"/>
  </cols>
  <sheetData>
    <row r="1" spans="1:18" x14ac:dyDescent="0.3">
      <c r="A1" s="25" t="s">
        <v>55</v>
      </c>
      <c r="B1" s="25"/>
      <c r="C1" s="25"/>
      <c r="D1" s="25"/>
      <c r="E1" s="25"/>
      <c r="F1" s="25"/>
      <c r="G1" s="25"/>
      <c r="H1" s="25"/>
      <c r="I1" s="25"/>
      <c r="J1" s="25"/>
      <c r="M1" s="25" t="s">
        <v>56</v>
      </c>
      <c r="N1" s="25"/>
      <c r="O1" s="25"/>
      <c r="P1" s="25"/>
      <c r="Q1" s="25"/>
      <c r="R1" s="25"/>
    </row>
    <row r="2" spans="1:18" x14ac:dyDescent="0.3">
      <c r="A2" s="25" t="s">
        <v>45</v>
      </c>
      <c r="B2" s="25"/>
      <c r="C2" s="25" t="s">
        <v>46</v>
      </c>
      <c r="D2" s="25"/>
      <c r="E2" s="25" t="s">
        <v>47</v>
      </c>
      <c r="F2" s="25"/>
      <c r="G2" s="25" t="s">
        <v>48</v>
      </c>
      <c r="H2" s="25"/>
      <c r="I2" s="25" t="s">
        <v>49</v>
      </c>
      <c r="J2" s="25"/>
      <c r="M2" s="2" t="s">
        <v>62</v>
      </c>
      <c r="N2" s="2" t="s">
        <v>57</v>
      </c>
      <c r="O2" s="2" t="s">
        <v>58</v>
      </c>
      <c r="P2" s="2" t="s">
        <v>59</v>
      </c>
      <c r="Q2" s="2" t="s">
        <v>60</v>
      </c>
      <c r="R2" s="2" t="s">
        <v>61</v>
      </c>
    </row>
    <row r="3" spans="1:18" x14ac:dyDescent="0.3">
      <c r="A3" s="2" t="s">
        <v>50</v>
      </c>
      <c r="B3" s="32">
        <v>5.3800704665467214E-2</v>
      </c>
      <c r="C3" s="2" t="s">
        <v>50</v>
      </c>
      <c r="D3" s="32">
        <v>4.1993543222727511E-2</v>
      </c>
      <c r="E3" s="2" t="s">
        <v>50</v>
      </c>
      <c r="F3" s="32">
        <v>3.0931983901666675E-2</v>
      </c>
      <c r="G3" s="2" t="s">
        <v>50</v>
      </c>
      <c r="H3" s="32">
        <v>2.0585123433110631E-2</v>
      </c>
      <c r="I3" s="2" t="s">
        <v>50</v>
      </c>
      <c r="J3" s="32">
        <v>5.3800558113632234E-2</v>
      </c>
      <c r="M3" s="2" t="s">
        <v>50</v>
      </c>
      <c r="N3" s="3">
        <v>2.5441270638536399E-2</v>
      </c>
      <c r="O3" s="3">
        <v>2.5364360419970498E-2</v>
      </c>
      <c r="P3" s="3">
        <v>2.5288053305999699E-2</v>
      </c>
      <c r="Q3" s="3">
        <v>2.5212345677448601E-2</v>
      </c>
      <c r="R3" s="3">
        <v>2.5137233927307798E-2</v>
      </c>
    </row>
    <row r="4" spans="1:18" x14ac:dyDescent="0.3">
      <c r="A4" s="2" t="s">
        <v>51</v>
      </c>
      <c r="B4" s="32">
        <v>0.27054344250727236</v>
      </c>
      <c r="C4" s="2" t="s">
        <v>51</v>
      </c>
      <c r="D4" s="32">
        <v>0.27454384500936641</v>
      </c>
      <c r="E4" s="2" t="s">
        <v>51</v>
      </c>
      <c r="F4" s="32">
        <v>0.27807847527554647</v>
      </c>
      <c r="G4" s="2" t="s">
        <v>51</v>
      </c>
      <c r="H4" s="32">
        <v>0.28117369667801029</v>
      </c>
      <c r="I4" s="2" t="s">
        <v>51</v>
      </c>
      <c r="J4" s="32">
        <v>0.27054353888384874</v>
      </c>
      <c r="M4" s="2" t="s">
        <v>51</v>
      </c>
      <c r="N4" s="3">
        <v>2.1360553966488699E-2</v>
      </c>
      <c r="O4" s="3">
        <v>2.1283825629955701E-2</v>
      </c>
      <c r="P4" s="3">
        <v>2.1207749592822199E-2</v>
      </c>
      <c r="Q4" s="3">
        <v>2.1132321650852399E-2</v>
      </c>
      <c r="R4" s="3">
        <v>2.1057537615552499E-2</v>
      </c>
    </row>
    <row r="5" spans="1:18" x14ac:dyDescent="0.3">
      <c r="A5" s="2" t="s">
        <v>52</v>
      </c>
      <c r="B5" s="32">
        <v>0.17427505132756754</v>
      </c>
      <c r="C5" s="2" t="s">
        <v>52</v>
      </c>
      <c r="D5" s="32">
        <v>0.16971670149111093</v>
      </c>
      <c r="E5" s="2" t="s">
        <v>52</v>
      </c>
      <c r="F5" s="32">
        <v>0.16515322941404464</v>
      </c>
      <c r="G5" s="2" t="s">
        <v>52</v>
      </c>
      <c r="H5" s="32">
        <v>0.16060505580888168</v>
      </c>
      <c r="I5" s="2" t="s">
        <v>52</v>
      </c>
      <c r="J5" s="32">
        <v>0.17427507790163588</v>
      </c>
      <c r="M5" s="2" t="s">
        <v>52</v>
      </c>
      <c r="N5" s="3">
        <v>2.8110283585859298E-2</v>
      </c>
      <c r="O5" s="3">
        <v>2.7521292164532699E-2</v>
      </c>
      <c r="P5" s="3">
        <v>2.6950845623707899E-2</v>
      </c>
      <c r="Q5" s="3">
        <v>2.6398489209455901E-2</v>
      </c>
      <c r="R5" s="3">
        <v>2.5863778104671699E-2</v>
      </c>
    </row>
    <row r="6" spans="1:18" x14ac:dyDescent="0.3">
      <c r="A6" s="2" t="s">
        <v>53</v>
      </c>
      <c r="B6" s="32">
        <v>0.38085440775090917</v>
      </c>
      <c r="C6" s="2" t="s">
        <v>53</v>
      </c>
      <c r="D6" s="32">
        <v>0.38964033010209764</v>
      </c>
      <c r="E6" s="2" t="s">
        <v>53</v>
      </c>
      <c r="F6" s="32">
        <v>0.39815772903960267</v>
      </c>
      <c r="G6" s="2" t="s">
        <v>53</v>
      </c>
      <c r="H6" s="32">
        <v>0.40639555312477971</v>
      </c>
      <c r="I6" s="2" t="s">
        <v>53</v>
      </c>
      <c r="J6" s="32">
        <v>0.38085443350763953</v>
      </c>
      <c r="M6" s="2" t="s">
        <v>53</v>
      </c>
      <c r="N6" s="3">
        <v>2.19609706324203E-2</v>
      </c>
      <c r="O6" s="3">
        <v>2.1303590967480499E-2</v>
      </c>
      <c r="P6" s="3">
        <v>2.0676074255882401E-2</v>
      </c>
      <c r="Q6" s="3">
        <v>2.0077365387296299E-2</v>
      </c>
      <c r="R6" s="3">
        <v>1.9506441657970299E-2</v>
      </c>
    </row>
    <row r="7" spans="1:18" x14ac:dyDescent="0.3">
      <c r="A7" s="2" t="s">
        <v>54</v>
      </c>
      <c r="B7" s="32">
        <v>0.12052639374878381</v>
      </c>
      <c r="C7" s="2" t="s">
        <v>54</v>
      </c>
      <c r="D7" s="32">
        <v>0.12410558017469746</v>
      </c>
      <c r="E7" s="2" t="s">
        <v>54</v>
      </c>
      <c r="F7" s="32">
        <v>0.12767858236913956</v>
      </c>
      <c r="G7" s="2" t="s">
        <v>54</v>
      </c>
      <c r="H7" s="32">
        <v>0.13124057095521771</v>
      </c>
      <c r="I7" s="2" t="s">
        <v>54</v>
      </c>
      <c r="J7" s="32">
        <v>0.12052639159324349</v>
      </c>
      <c r="M7" s="2" t="s">
        <v>54</v>
      </c>
      <c r="N7" s="3">
        <v>2.44897575855768E-2</v>
      </c>
      <c r="O7" s="3">
        <v>2.4102080810637999E-2</v>
      </c>
      <c r="P7" s="3">
        <v>2.3726091349845099E-2</v>
      </c>
      <c r="Q7" s="3">
        <v>2.33615228762389E-2</v>
      </c>
      <c r="R7" s="3">
        <v>2.3008113188264401E-2</v>
      </c>
    </row>
    <row r="9" spans="1:18" x14ac:dyDescent="0.3">
      <c r="M9" s="2"/>
      <c r="N9" s="2" t="s">
        <v>50</v>
      </c>
      <c r="O9" s="2" t="s">
        <v>51</v>
      </c>
      <c r="P9" s="2" t="s">
        <v>52</v>
      </c>
      <c r="Q9" s="2" t="s">
        <v>53</v>
      </c>
      <c r="R9" s="2" t="s">
        <v>54</v>
      </c>
    </row>
    <row r="10" spans="1:18" x14ac:dyDescent="0.3">
      <c r="M10" s="2" t="s">
        <v>57</v>
      </c>
      <c r="N10" s="3">
        <v>2.5441270638536399E-2</v>
      </c>
      <c r="O10" s="3">
        <v>2.1360553966488699E-2</v>
      </c>
      <c r="P10" s="3">
        <v>2.8110283585859298E-2</v>
      </c>
      <c r="Q10" s="3">
        <v>2.19609706324203E-2</v>
      </c>
      <c r="R10" s="3">
        <v>2.44897575855768E-2</v>
      </c>
    </row>
    <row r="11" spans="1:18" x14ac:dyDescent="0.3">
      <c r="M11" s="2" t="s">
        <v>58</v>
      </c>
      <c r="N11" s="3">
        <v>2.5364360419970498E-2</v>
      </c>
      <c r="O11" s="3">
        <v>2.1283825629955701E-2</v>
      </c>
      <c r="P11" s="3">
        <v>2.7521292164532699E-2</v>
      </c>
      <c r="Q11" s="3">
        <v>2.1303590967480499E-2</v>
      </c>
      <c r="R11" s="3">
        <v>2.4102080810637999E-2</v>
      </c>
    </row>
    <row r="12" spans="1:18" x14ac:dyDescent="0.3">
      <c r="M12" s="2" t="s">
        <v>59</v>
      </c>
      <c r="N12" s="3">
        <v>2.5288053305999699E-2</v>
      </c>
      <c r="O12" s="3">
        <v>2.1207749592822199E-2</v>
      </c>
      <c r="P12" s="3">
        <v>2.6950845623707899E-2</v>
      </c>
      <c r="Q12" s="3">
        <v>2.0676074255882401E-2</v>
      </c>
      <c r="R12" s="3">
        <v>2.3726091349845099E-2</v>
      </c>
    </row>
    <row r="13" spans="1:18" x14ac:dyDescent="0.3">
      <c r="M13" s="2" t="s">
        <v>60</v>
      </c>
      <c r="N13" s="3">
        <v>2.5212345677448601E-2</v>
      </c>
      <c r="O13" s="3">
        <v>2.1132321650852399E-2</v>
      </c>
      <c r="P13" s="3">
        <v>2.6398489209455901E-2</v>
      </c>
      <c r="Q13" s="3">
        <v>2.0077365387296299E-2</v>
      </c>
      <c r="R13" s="3">
        <v>2.33615228762389E-2</v>
      </c>
    </row>
    <row r="14" spans="1:18" x14ac:dyDescent="0.3">
      <c r="M14" s="2" t="s">
        <v>61</v>
      </c>
      <c r="N14" s="3">
        <v>2.5137233927307798E-2</v>
      </c>
      <c r="O14" s="3">
        <v>2.1057537615552499E-2</v>
      </c>
      <c r="P14" s="3">
        <v>2.5863778104671699E-2</v>
      </c>
      <c r="Q14" s="3">
        <v>1.9506441657970299E-2</v>
      </c>
      <c r="R14" s="3">
        <v>2.3008113188264401E-2</v>
      </c>
    </row>
  </sheetData>
  <mergeCells count="7">
    <mergeCell ref="M1:R1"/>
    <mergeCell ref="A2:B2"/>
    <mergeCell ref="C2:D2"/>
    <mergeCell ref="E2:F2"/>
    <mergeCell ref="G2:H2"/>
    <mergeCell ref="I2:J2"/>
    <mergeCell ref="A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Koshy</dc:creator>
  <cp:lastModifiedBy>Sam Koshy</cp:lastModifiedBy>
  <dcterms:created xsi:type="dcterms:W3CDTF">2018-02-21T05:47:56Z</dcterms:created>
  <dcterms:modified xsi:type="dcterms:W3CDTF">2018-02-22T02:34:56Z</dcterms:modified>
</cp:coreProperties>
</file>